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gramming\Marvin_Has_Fun_2309\40_Python\20250419_QuantTrader\marvin_trader\monitor_assist\"/>
    </mc:Choice>
  </mc:AlternateContent>
  <xr:revisionPtr revIDLastSave="0" documentId="13_ncr:1_{F01463D8-05BE-429F-BAE0-90F54B5061A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简化版" sheetId="6" r:id="rId1"/>
    <sheet name="凯利公式" sheetId="5" r:id="rId2"/>
    <sheet name="后续问题" sheetId="7" r:id="rId3"/>
    <sheet name="保证金计算" sheetId="2" r:id="rId4"/>
    <sheet name="公式说明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5" i="6"/>
  <c r="A29" i="6"/>
  <c r="A30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B37" i="5"/>
  <c r="C37" i="5"/>
  <c r="B38" i="5"/>
  <c r="C38" i="5"/>
  <c r="E38" i="5" s="1"/>
  <c r="B39" i="5"/>
  <c r="C39" i="5"/>
  <c r="B40" i="5"/>
  <c r="C40" i="5"/>
  <c r="B41" i="5"/>
  <c r="C41" i="5"/>
  <c r="E41" i="5"/>
  <c r="B42" i="5"/>
  <c r="F42" i="5" s="1"/>
  <c r="C42" i="5"/>
  <c r="D42" i="5"/>
  <c r="E42" i="5"/>
  <c r="AE42" i="5"/>
  <c r="AF42" i="5"/>
  <c r="B43" i="5"/>
  <c r="C43" i="5"/>
  <c r="B44" i="5"/>
  <c r="C44" i="5"/>
  <c r="B45" i="5"/>
  <c r="C45" i="5"/>
  <c r="B46" i="5"/>
  <c r="C46" i="5"/>
  <c r="B47" i="5"/>
  <c r="C47" i="5"/>
  <c r="E47" i="5" s="1"/>
  <c r="B48" i="5"/>
  <c r="F48" i="5" s="1"/>
  <c r="C48" i="5"/>
  <c r="D48" i="5"/>
  <c r="E48" i="5"/>
  <c r="AE48" i="5"/>
  <c r="AF48" i="5"/>
  <c r="B49" i="5"/>
  <c r="C49" i="5"/>
  <c r="B50" i="5"/>
  <c r="C50" i="5"/>
  <c r="E50" i="5" s="1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E58" i="5" s="1"/>
  <c r="B59" i="5"/>
  <c r="C59" i="5"/>
  <c r="B60" i="5"/>
  <c r="C60" i="5"/>
  <c r="B61" i="5"/>
  <c r="C61" i="5"/>
  <c r="B62" i="5"/>
  <c r="C62" i="5"/>
  <c r="B63" i="5"/>
  <c r="C63" i="5"/>
  <c r="E63" i="5" s="1"/>
  <c r="B18" i="5"/>
  <c r="F18" i="5" s="1"/>
  <c r="C18" i="5"/>
  <c r="B19" i="5"/>
  <c r="F19" i="5" s="1"/>
  <c r="C19" i="5"/>
  <c r="B33" i="5"/>
  <c r="C33" i="5"/>
  <c r="E33" i="5" s="1"/>
  <c r="B34" i="5"/>
  <c r="C34" i="5"/>
  <c r="B35" i="5"/>
  <c r="C35" i="5"/>
  <c r="B36" i="5"/>
  <c r="C36" i="5"/>
  <c r="A33" i="6"/>
  <c r="A32" i="6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B27" i="5"/>
  <c r="B28" i="5"/>
  <c r="B29" i="5"/>
  <c r="B30" i="5"/>
  <c r="B31" i="5"/>
  <c r="B32" i="5"/>
  <c r="B20" i="5"/>
  <c r="B21" i="5"/>
  <c r="B22" i="5"/>
  <c r="B23" i="5"/>
  <c r="B24" i="5"/>
  <c r="B25" i="5"/>
  <c r="B26" i="5"/>
  <c r="D37" i="5" l="1"/>
  <c r="F37" i="5"/>
  <c r="D38" i="5"/>
  <c r="F38" i="5"/>
  <c r="D27" i="5"/>
  <c r="F27" i="5"/>
  <c r="D29" i="5"/>
  <c r="F29" i="5"/>
  <c r="G29" i="5" s="1"/>
  <c r="D31" i="5"/>
  <c r="F31" i="5"/>
  <c r="G31" i="5" s="1"/>
  <c r="D32" i="5"/>
  <c r="F32" i="5"/>
  <c r="D20" i="5"/>
  <c r="AF20" i="5" s="1"/>
  <c r="J7" i="6" s="1"/>
  <c r="F20" i="5"/>
  <c r="D21" i="5"/>
  <c r="AF21" i="5" s="1"/>
  <c r="J8" i="6" s="1"/>
  <c r="F21" i="5"/>
  <c r="G21" i="5" s="1"/>
  <c r="D22" i="5"/>
  <c r="F22" i="5"/>
  <c r="G22" i="5" s="1"/>
  <c r="D23" i="5"/>
  <c r="F23" i="5"/>
  <c r="D25" i="5"/>
  <c r="F25" i="5"/>
  <c r="D26" i="5"/>
  <c r="F26" i="5"/>
  <c r="E18" i="5"/>
  <c r="E39" i="5"/>
  <c r="D39" i="5"/>
  <c r="F39" i="5" s="1"/>
  <c r="D41" i="5"/>
  <c r="F41" i="5" s="1"/>
  <c r="AF41" i="5"/>
  <c r="AE41" i="5"/>
  <c r="D60" i="5"/>
  <c r="F60" i="5" s="1"/>
  <c r="E60" i="5"/>
  <c r="E37" i="5"/>
  <c r="D63" i="5"/>
  <c r="F63" i="5" s="1"/>
  <c r="D51" i="5"/>
  <c r="F51" i="5" s="1"/>
  <c r="AE37" i="5"/>
  <c r="AF37" i="5" s="1"/>
  <c r="D43" i="5"/>
  <c r="F43" i="5" s="1"/>
  <c r="E43" i="5"/>
  <c r="D44" i="5"/>
  <c r="F44" i="5" s="1"/>
  <c r="E44" i="5"/>
  <c r="D53" i="5"/>
  <c r="F53" i="5" s="1"/>
  <c r="E53" i="5"/>
  <c r="D55" i="5"/>
  <c r="F55" i="5" s="1"/>
  <c r="E55" i="5"/>
  <c r="D57" i="5"/>
  <c r="F57" i="5" s="1"/>
  <c r="E57" i="5"/>
  <c r="AG42" i="5"/>
  <c r="K29" i="6" s="1"/>
  <c r="J29" i="6"/>
  <c r="AG48" i="5"/>
  <c r="D47" i="5"/>
  <c r="F47" i="5" s="1"/>
  <c r="E51" i="5"/>
  <c r="E56" i="5"/>
  <c r="AF38" i="5"/>
  <c r="AE38" i="5"/>
  <c r="D40" i="5"/>
  <c r="F40" i="5" s="1"/>
  <c r="E40" i="5"/>
  <c r="E54" i="5"/>
  <c r="D54" i="5"/>
  <c r="F54" i="5" s="1"/>
  <c r="D59" i="5"/>
  <c r="F59" i="5" s="1"/>
  <c r="E59" i="5"/>
  <c r="E61" i="5"/>
  <c r="D61" i="5"/>
  <c r="F61" i="5" s="1"/>
  <c r="D50" i="5"/>
  <c r="F50" i="5" s="1"/>
  <c r="D56" i="5"/>
  <c r="F56" i="5" s="1"/>
  <c r="D58" i="5"/>
  <c r="F58" i="5" s="1"/>
  <c r="G42" i="5"/>
  <c r="K42" i="5"/>
  <c r="L42" i="5" s="1"/>
  <c r="P42" i="5"/>
  <c r="Q42" i="5" s="1"/>
  <c r="U42" i="5"/>
  <c r="V42" i="5" s="1"/>
  <c r="Z42" i="5"/>
  <c r="AA42" i="5" s="1"/>
  <c r="E62" i="5"/>
  <c r="D62" i="5"/>
  <c r="F62" i="5" s="1"/>
  <c r="E45" i="5"/>
  <c r="D45" i="5"/>
  <c r="F45" i="5" s="1"/>
  <c r="E46" i="5"/>
  <c r="D46" i="5"/>
  <c r="F46" i="5" s="1"/>
  <c r="G48" i="5"/>
  <c r="K48" i="5"/>
  <c r="L48" i="5" s="1"/>
  <c r="U48" i="5"/>
  <c r="V48" i="5" s="1"/>
  <c r="P48" i="5"/>
  <c r="Q48" i="5" s="1"/>
  <c r="Z48" i="5"/>
  <c r="AA48" i="5" s="1"/>
  <c r="D49" i="5"/>
  <c r="F49" i="5" s="1"/>
  <c r="E49" i="5"/>
  <c r="D52" i="5"/>
  <c r="F52" i="5" s="1"/>
  <c r="E52" i="5"/>
  <c r="D18" i="5"/>
  <c r="E34" i="5"/>
  <c r="D28" i="5"/>
  <c r="F28" i="5" s="1"/>
  <c r="D19" i="5"/>
  <c r="E19" i="5"/>
  <c r="D33" i="5"/>
  <c r="F33" i="5" s="1"/>
  <c r="D24" i="5"/>
  <c r="F24" i="5" s="1"/>
  <c r="D34" i="5"/>
  <c r="F34" i="5" s="1"/>
  <c r="E35" i="5"/>
  <c r="D35" i="5"/>
  <c r="F35" i="5" s="1"/>
  <c r="E36" i="5"/>
  <c r="D36" i="5"/>
  <c r="F36" i="5" s="1"/>
  <c r="AE27" i="5"/>
  <c r="AF27" i="5" s="1"/>
  <c r="AE29" i="5"/>
  <c r="AF29" i="5" s="1"/>
  <c r="AE31" i="5"/>
  <c r="AF31" i="5" s="1"/>
  <c r="AE32" i="5"/>
  <c r="AF32" i="5" s="1"/>
  <c r="AE20" i="5"/>
  <c r="AG20" i="5" s="1"/>
  <c r="K7" i="6" s="1"/>
  <c r="AE21" i="5"/>
  <c r="AG21" i="5" s="1"/>
  <c r="K8" i="6" s="1"/>
  <c r="AE22" i="5"/>
  <c r="AF22" i="5" s="1"/>
  <c r="AE23" i="5"/>
  <c r="AF23" i="5" s="1"/>
  <c r="AE25" i="5"/>
  <c r="AF25" i="5" s="1"/>
  <c r="AE26" i="5"/>
  <c r="AF26" i="5" s="1"/>
  <c r="D30" i="5"/>
  <c r="F30" i="5" s="1"/>
  <c r="E32" i="5"/>
  <c r="E29" i="5"/>
  <c r="E30" i="5"/>
  <c r="E31" i="5"/>
  <c r="E21" i="5"/>
  <c r="E27" i="5"/>
  <c r="E23" i="5"/>
  <c r="E20" i="5"/>
  <c r="E28" i="5"/>
  <c r="E22" i="5"/>
  <c r="E26" i="5"/>
  <c r="E25" i="5"/>
  <c r="E24" i="5"/>
  <c r="K38" i="5" l="1"/>
  <c r="L38" i="5" s="1"/>
  <c r="G38" i="5"/>
  <c r="P38" i="5"/>
  <c r="Q38" i="5" s="1"/>
  <c r="U38" i="5"/>
  <c r="V38" i="5" s="1"/>
  <c r="Z38" i="5"/>
  <c r="AA38" i="5" s="1"/>
  <c r="AF39" i="5"/>
  <c r="AE39" i="5"/>
  <c r="AF60" i="5"/>
  <c r="AE60" i="5"/>
  <c r="AG41" i="5"/>
  <c r="K28" i="6" s="1"/>
  <c r="J28" i="6"/>
  <c r="U41" i="5"/>
  <c r="V41" i="5" s="1"/>
  <c r="P41" i="5"/>
  <c r="Q41" i="5" s="1"/>
  <c r="Z41" i="5"/>
  <c r="AA41" i="5" s="1"/>
  <c r="G41" i="5"/>
  <c r="K41" i="5"/>
  <c r="L41" i="5" s="1"/>
  <c r="AE63" i="5"/>
  <c r="AF63" i="5"/>
  <c r="P37" i="5"/>
  <c r="Q37" i="5" s="1"/>
  <c r="U37" i="5"/>
  <c r="V37" i="5" s="1"/>
  <c r="Z37" i="5"/>
  <c r="AA37" i="5" s="1"/>
  <c r="N38" i="5"/>
  <c r="O38" i="5" s="1"/>
  <c r="E5" i="6" s="1"/>
  <c r="M38" i="5"/>
  <c r="D5" i="6" s="1"/>
  <c r="S41" i="5"/>
  <c r="T41" i="5" s="1"/>
  <c r="R41" i="5"/>
  <c r="AF43" i="5"/>
  <c r="AE43" i="5"/>
  <c r="AF53" i="5"/>
  <c r="AE53" i="5"/>
  <c r="G37" i="5"/>
  <c r="K37" i="5"/>
  <c r="L37" i="5" s="1"/>
  <c r="AF44" i="5"/>
  <c r="AE44" i="5"/>
  <c r="AE55" i="5"/>
  <c r="AF55" i="5"/>
  <c r="AF57" i="5"/>
  <c r="AE57" i="5"/>
  <c r="AE51" i="5"/>
  <c r="AF51" i="5"/>
  <c r="J24" i="6"/>
  <c r="AG37" i="5"/>
  <c r="K24" i="6" s="1"/>
  <c r="K43" i="5"/>
  <c r="L43" i="5" s="1"/>
  <c r="U43" i="5"/>
  <c r="V43" i="5" s="1"/>
  <c r="Z43" i="5"/>
  <c r="AA43" i="5" s="1"/>
  <c r="P43" i="5"/>
  <c r="Q43" i="5" s="1"/>
  <c r="G43" i="5"/>
  <c r="P63" i="5"/>
  <c r="Q63" i="5" s="1"/>
  <c r="G63" i="5"/>
  <c r="AE56" i="5"/>
  <c r="AF56" i="5"/>
  <c r="AF58" i="5"/>
  <c r="AE58" i="5"/>
  <c r="H42" i="5"/>
  <c r="B9" i="6" s="1"/>
  <c r="I42" i="5"/>
  <c r="J42" i="5" s="1"/>
  <c r="C9" i="6" s="1"/>
  <c r="S42" i="5"/>
  <c r="T42" i="5" s="1"/>
  <c r="R42" i="5"/>
  <c r="AB42" i="5"/>
  <c r="AC42" i="5"/>
  <c r="AD42" i="5" s="1"/>
  <c r="AE28" i="5"/>
  <c r="AF28" i="5" s="1"/>
  <c r="AG38" i="5"/>
  <c r="K25" i="6" s="1"/>
  <c r="J25" i="6"/>
  <c r="AG27" i="5"/>
  <c r="K14" i="6" s="1"/>
  <c r="J14" i="6"/>
  <c r="AG29" i="5"/>
  <c r="K16" i="6" s="1"/>
  <c r="J16" i="6"/>
  <c r="AG31" i="5"/>
  <c r="K18" i="6" s="1"/>
  <c r="J18" i="6"/>
  <c r="AG32" i="5"/>
  <c r="K19" i="6" s="1"/>
  <c r="J19" i="6"/>
  <c r="AG22" i="5"/>
  <c r="K9" i="6" s="1"/>
  <c r="J9" i="6"/>
  <c r="AG23" i="5"/>
  <c r="K10" i="6" s="1"/>
  <c r="J10" i="6"/>
  <c r="AG25" i="5"/>
  <c r="K12" i="6" s="1"/>
  <c r="J12" i="6"/>
  <c r="AG26" i="5"/>
  <c r="K13" i="6" s="1"/>
  <c r="J13" i="6"/>
  <c r="AF40" i="5"/>
  <c r="AE40" i="5"/>
  <c r="AF54" i="5"/>
  <c r="AE54" i="5"/>
  <c r="AE59" i="5"/>
  <c r="AF59" i="5"/>
  <c r="AE61" i="5"/>
  <c r="AF61" i="5"/>
  <c r="AE47" i="5"/>
  <c r="AF47" i="5"/>
  <c r="AE50" i="5"/>
  <c r="AF50" i="5"/>
  <c r="N42" i="5"/>
  <c r="O42" i="5" s="1"/>
  <c r="E9" i="6" s="1"/>
  <c r="M42" i="5"/>
  <c r="D9" i="6" s="1"/>
  <c r="X42" i="5"/>
  <c r="Y42" i="5" s="1"/>
  <c r="G9" i="6" s="1"/>
  <c r="W42" i="5"/>
  <c r="F9" i="6" s="1"/>
  <c r="AF62" i="5"/>
  <c r="AE62" i="5"/>
  <c r="AE45" i="5"/>
  <c r="AF45" i="5"/>
  <c r="AE46" i="5"/>
  <c r="AF46" i="5"/>
  <c r="Z47" i="5"/>
  <c r="AA47" i="5" s="1"/>
  <c r="U47" i="5"/>
  <c r="V47" i="5" s="1"/>
  <c r="K47" i="5"/>
  <c r="L47" i="5" s="1"/>
  <c r="G47" i="5"/>
  <c r="P47" i="5"/>
  <c r="Q47" i="5" s="1"/>
  <c r="H48" i="5"/>
  <c r="B15" i="6" s="1"/>
  <c r="I48" i="5"/>
  <c r="J48" i="5" s="1"/>
  <c r="C15" i="6" s="1"/>
  <c r="N48" i="5"/>
  <c r="O48" i="5" s="1"/>
  <c r="E15" i="6" s="1"/>
  <c r="M48" i="5"/>
  <c r="D15" i="6" s="1"/>
  <c r="X48" i="5"/>
  <c r="Y48" i="5" s="1"/>
  <c r="G15" i="6" s="1"/>
  <c r="W48" i="5"/>
  <c r="F15" i="6" s="1"/>
  <c r="R48" i="5"/>
  <c r="S48" i="5"/>
  <c r="T48" i="5" s="1"/>
  <c r="AB48" i="5"/>
  <c r="AC48" i="5"/>
  <c r="AD48" i="5" s="1"/>
  <c r="AE49" i="5"/>
  <c r="AF49" i="5"/>
  <c r="AE52" i="5"/>
  <c r="AF52" i="5"/>
  <c r="AF18" i="5"/>
  <c r="AE18" i="5"/>
  <c r="AF19" i="5"/>
  <c r="G19" i="5"/>
  <c r="AE19" i="5"/>
  <c r="U18" i="5"/>
  <c r="V18" i="5" s="1"/>
  <c r="K27" i="5"/>
  <c r="L27" i="5" s="1"/>
  <c r="G27" i="5"/>
  <c r="U27" i="5"/>
  <c r="V27" i="5" s="1"/>
  <c r="AE33" i="5"/>
  <c r="AF33" i="5" s="1"/>
  <c r="AE24" i="5"/>
  <c r="AF24" i="5" s="1"/>
  <c r="AE34" i="5"/>
  <c r="AF34" i="5" s="1"/>
  <c r="U32" i="5"/>
  <c r="V32" i="5" s="1"/>
  <c r="G32" i="5"/>
  <c r="P20" i="5"/>
  <c r="Q20" i="5" s="1"/>
  <c r="U20" i="5"/>
  <c r="V20" i="5" s="1"/>
  <c r="G20" i="5"/>
  <c r="Z21" i="5"/>
  <c r="AA21" i="5" s="1"/>
  <c r="K21" i="5"/>
  <c r="L21" i="5" s="1"/>
  <c r="U21" i="5"/>
  <c r="V21" i="5" s="1"/>
  <c r="P21" i="5"/>
  <c r="Q21" i="5" s="1"/>
  <c r="Z22" i="5"/>
  <c r="AA22" i="5" s="1"/>
  <c r="U22" i="5"/>
  <c r="V22" i="5" s="1"/>
  <c r="K22" i="5"/>
  <c r="L22" i="5" s="1"/>
  <c r="P22" i="5"/>
  <c r="Q22" i="5" s="1"/>
  <c r="G23" i="5"/>
  <c r="U23" i="5"/>
  <c r="V23" i="5" s="1"/>
  <c r="K23" i="5"/>
  <c r="L23" i="5" s="1"/>
  <c r="P23" i="5"/>
  <c r="Q23" i="5" s="1"/>
  <c r="Z23" i="5"/>
  <c r="AA23" i="5" s="1"/>
  <c r="G25" i="5"/>
  <c r="K25" i="5"/>
  <c r="L25" i="5" s="1"/>
  <c r="P25" i="5"/>
  <c r="Q25" i="5" s="1"/>
  <c r="U25" i="5"/>
  <c r="V25" i="5" s="1"/>
  <c r="Z25" i="5"/>
  <c r="AA25" i="5" s="1"/>
  <c r="G26" i="5"/>
  <c r="U26" i="5"/>
  <c r="V26" i="5" s="1"/>
  <c r="Z26" i="5"/>
  <c r="AA26" i="5" s="1"/>
  <c r="K26" i="5"/>
  <c r="L26" i="5" s="1"/>
  <c r="P26" i="5"/>
  <c r="Q26" i="5" s="1"/>
  <c r="AE35" i="5"/>
  <c r="AF35" i="5" s="1"/>
  <c r="AE36" i="5"/>
  <c r="AF36" i="5" s="1"/>
  <c r="Z27" i="5"/>
  <c r="AA27" i="5" s="1"/>
  <c r="P27" i="5"/>
  <c r="Q27" i="5" s="1"/>
  <c r="Z29" i="5"/>
  <c r="AA29" i="5" s="1"/>
  <c r="K29" i="5"/>
  <c r="L29" i="5" s="1"/>
  <c r="U29" i="5"/>
  <c r="V29" i="5" s="1"/>
  <c r="P29" i="5"/>
  <c r="Q29" i="5" s="1"/>
  <c r="P31" i="5"/>
  <c r="Q31" i="5" s="1"/>
  <c r="Z31" i="5"/>
  <c r="AA31" i="5" s="1"/>
  <c r="K31" i="5"/>
  <c r="L31" i="5" s="1"/>
  <c r="U31" i="5"/>
  <c r="V31" i="5" s="1"/>
  <c r="Z32" i="5"/>
  <c r="AA32" i="5" s="1"/>
  <c r="K32" i="5"/>
  <c r="L32" i="5" s="1"/>
  <c r="P32" i="5"/>
  <c r="Q32" i="5" s="1"/>
  <c r="Z20" i="5"/>
  <c r="AA20" i="5" s="1"/>
  <c r="K20" i="5"/>
  <c r="L20" i="5" s="1"/>
  <c r="AE30" i="5"/>
  <c r="AF30" i="5" s="1"/>
  <c r="H29" i="5"/>
  <c r="I29" i="5"/>
  <c r="J29" i="5" s="1"/>
  <c r="H31" i="5"/>
  <c r="I31" i="5"/>
  <c r="J31" i="5" s="1"/>
  <c r="H22" i="5"/>
  <c r="I22" i="5"/>
  <c r="J22" i="5" s="1"/>
  <c r="H21" i="5"/>
  <c r="I21" i="5"/>
  <c r="J21" i="5" s="1"/>
  <c r="H38" i="5" l="1"/>
  <c r="B5" i="6" s="1"/>
  <c r="I38" i="5"/>
  <c r="J38" i="5" s="1"/>
  <c r="C5" i="6" s="1"/>
  <c r="S38" i="5"/>
  <c r="T38" i="5" s="1"/>
  <c r="R38" i="5"/>
  <c r="X38" i="5"/>
  <c r="Y38" i="5" s="1"/>
  <c r="G5" i="6" s="1"/>
  <c r="W38" i="5"/>
  <c r="F5" i="6" s="1"/>
  <c r="AC38" i="5"/>
  <c r="AD38" i="5" s="1"/>
  <c r="AB38" i="5"/>
  <c r="W41" i="5"/>
  <c r="F8" i="6" s="1"/>
  <c r="X41" i="5"/>
  <c r="Y41" i="5" s="1"/>
  <c r="G8" i="6" s="1"/>
  <c r="AC41" i="5"/>
  <c r="AD41" i="5" s="1"/>
  <c r="AB41" i="5"/>
  <c r="H41" i="5"/>
  <c r="B8" i="6" s="1"/>
  <c r="I41" i="5"/>
  <c r="J41" i="5" s="1"/>
  <c r="C8" i="6" s="1"/>
  <c r="N41" i="5"/>
  <c r="O41" i="5" s="1"/>
  <c r="E8" i="6" s="1"/>
  <c r="M41" i="5"/>
  <c r="D8" i="6" s="1"/>
  <c r="J26" i="6"/>
  <c r="AG39" i="5"/>
  <c r="K26" i="6" s="1"/>
  <c r="K39" i="5"/>
  <c r="L39" i="5" s="1"/>
  <c r="G39" i="5"/>
  <c r="P39" i="5"/>
  <c r="Q39" i="5" s="1"/>
  <c r="Z39" i="5"/>
  <c r="AA39" i="5" s="1"/>
  <c r="U39" i="5"/>
  <c r="V39" i="5" s="1"/>
  <c r="AG60" i="5"/>
  <c r="K60" i="5"/>
  <c r="L60" i="5" s="1"/>
  <c r="Z60" i="5"/>
  <c r="AA60" i="5" s="1"/>
  <c r="P60" i="5"/>
  <c r="Q60" i="5" s="1"/>
  <c r="U60" i="5"/>
  <c r="V60" i="5" s="1"/>
  <c r="G60" i="5"/>
  <c r="AG63" i="5"/>
  <c r="S37" i="5"/>
  <c r="T37" i="5" s="1"/>
  <c r="R37" i="5"/>
  <c r="X37" i="5"/>
  <c r="Y37" i="5" s="1"/>
  <c r="W37" i="5"/>
  <c r="AC37" i="5"/>
  <c r="AD37" i="5" s="1"/>
  <c r="AB37" i="5"/>
  <c r="AG53" i="5"/>
  <c r="K53" i="5"/>
  <c r="L53" i="5" s="1"/>
  <c r="G53" i="5"/>
  <c r="Z53" i="5"/>
  <c r="AA53" i="5" s="1"/>
  <c r="U53" i="5"/>
  <c r="V53" i="5" s="1"/>
  <c r="P53" i="5"/>
  <c r="Q53" i="5" s="1"/>
  <c r="AG28" i="5"/>
  <c r="K15" i="6" s="1"/>
  <c r="J15" i="6"/>
  <c r="Z63" i="5"/>
  <c r="AA63" i="5" s="1"/>
  <c r="K63" i="5"/>
  <c r="L63" i="5" s="1"/>
  <c r="U63" i="5"/>
  <c r="V63" i="5" s="1"/>
  <c r="AG43" i="5"/>
  <c r="K30" i="6" s="1"/>
  <c r="J30" i="6"/>
  <c r="AG56" i="5"/>
  <c r="AG58" i="5"/>
  <c r="G28" i="5"/>
  <c r="Z28" i="5"/>
  <c r="AA28" i="5" s="1"/>
  <c r="K28" i="5"/>
  <c r="L28" i="5" s="1"/>
  <c r="U28" i="5"/>
  <c r="V28" i="5" s="1"/>
  <c r="P28" i="5"/>
  <c r="Q28" i="5" s="1"/>
  <c r="I37" i="5"/>
  <c r="J37" i="5" s="1"/>
  <c r="H37" i="5"/>
  <c r="M37" i="5"/>
  <c r="N37" i="5"/>
  <c r="O37" i="5" s="1"/>
  <c r="AG44" i="5"/>
  <c r="K44" i="5"/>
  <c r="L44" i="5" s="1"/>
  <c r="Z44" i="5"/>
  <c r="AA44" i="5" s="1"/>
  <c r="G44" i="5"/>
  <c r="U44" i="5"/>
  <c r="V44" i="5" s="1"/>
  <c r="P44" i="5"/>
  <c r="Q44" i="5" s="1"/>
  <c r="Z55" i="5"/>
  <c r="AA55" i="5" s="1"/>
  <c r="G55" i="5"/>
  <c r="P55" i="5"/>
  <c r="Q55" i="5" s="1"/>
  <c r="K55" i="5"/>
  <c r="L55" i="5" s="1"/>
  <c r="U55" i="5"/>
  <c r="V55" i="5" s="1"/>
  <c r="AG55" i="5"/>
  <c r="AG57" i="5"/>
  <c r="Z57" i="5"/>
  <c r="AA57" i="5" s="1"/>
  <c r="K57" i="5"/>
  <c r="L57" i="5" s="1"/>
  <c r="P57" i="5"/>
  <c r="Q57" i="5" s="1"/>
  <c r="U57" i="5"/>
  <c r="V57" i="5" s="1"/>
  <c r="G57" i="5"/>
  <c r="AG51" i="5"/>
  <c r="U51" i="5"/>
  <c r="V51" i="5" s="1"/>
  <c r="K51" i="5"/>
  <c r="L51" i="5" s="1"/>
  <c r="G51" i="5"/>
  <c r="Z51" i="5"/>
  <c r="AA51" i="5" s="1"/>
  <c r="P51" i="5"/>
  <c r="Q51" i="5" s="1"/>
  <c r="M43" i="5"/>
  <c r="D10" i="6" s="1"/>
  <c r="N43" i="5"/>
  <c r="O43" i="5" s="1"/>
  <c r="E10" i="6" s="1"/>
  <c r="X43" i="5"/>
  <c r="Y43" i="5" s="1"/>
  <c r="G10" i="6" s="1"/>
  <c r="W43" i="5"/>
  <c r="F10" i="6" s="1"/>
  <c r="AC43" i="5"/>
  <c r="AD43" i="5" s="1"/>
  <c r="AB43" i="5"/>
  <c r="S43" i="5"/>
  <c r="T43" i="5" s="1"/>
  <c r="R43" i="5"/>
  <c r="I43" i="5"/>
  <c r="J43" i="5" s="1"/>
  <c r="C10" i="6" s="1"/>
  <c r="H43" i="5"/>
  <c r="B10" i="6" s="1"/>
  <c r="R63" i="5"/>
  <c r="S63" i="5"/>
  <c r="T63" i="5" s="1"/>
  <c r="H63" i="5"/>
  <c r="B30" i="6" s="1"/>
  <c r="I63" i="5"/>
  <c r="J63" i="5" s="1"/>
  <c r="C30" i="6" s="1"/>
  <c r="K56" i="5"/>
  <c r="L56" i="5" s="1"/>
  <c r="P56" i="5"/>
  <c r="Q56" i="5" s="1"/>
  <c r="Z56" i="5"/>
  <c r="AA56" i="5" s="1"/>
  <c r="U56" i="5"/>
  <c r="V56" i="5" s="1"/>
  <c r="G56" i="5"/>
  <c r="Z58" i="5"/>
  <c r="AA58" i="5" s="1"/>
  <c r="U58" i="5"/>
  <c r="V58" i="5" s="1"/>
  <c r="P58" i="5"/>
  <c r="Q58" i="5" s="1"/>
  <c r="K58" i="5"/>
  <c r="L58" i="5" s="1"/>
  <c r="G58" i="5"/>
  <c r="G50" i="5"/>
  <c r="P50" i="5"/>
  <c r="Q50" i="5" s="1"/>
  <c r="U50" i="5"/>
  <c r="V50" i="5" s="1"/>
  <c r="Z50" i="5"/>
  <c r="AA50" i="5" s="1"/>
  <c r="K50" i="5"/>
  <c r="L50" i="5" s="1"/>
  <c r="AG40" i="5"/>
  <c r="K27" i="6" s="1"/>
  <c r="J27" i="6"/>
  <c r="AG54" i="5"/>
  <c r="AG59" i="5"/>
  <c r="AG61" i="5"/>
  <c r="AG47" i="5"/>
  <c r="AG50" i="5"/>
  <c r="AG62" i="5"/>
  <c r="AG45" i="5"/>
  <c r="AG46" i="5"/>
  <c r="AG49" i="5"/>
  <c r="AG52" i="5"/>
  <c r="AG18" i="5"/>
  <c r="K5" i="6" s="1"/>
  <c r="J5" i="6"/>
  <c r="AG19" i="5"/>
  <c r="K6" i="6" s="1"/>
  <c r="J6" i="6"/>
  <c r="AG33" i="5"/>
  <c r="K20" i="6" s="1"/>
  <c r="J20" i="6"/>
  <c r="AG24" i="5"/>
  <c r="K11" i="6" s="1"/>
  <c r="J11" i="6"/>
  <c r="AG34" i="5"/>
  <c r="K21" i="6" s="1"/>
  <c r="J21" i="6"/>
  <c r="AG35" i="5"/>
  <c r="K22" i="6" s="1"/>
  <c r="J22" i="6"/>
  <c r="AG36" i="5"/>
  <c r="K23" i="6" s="1"/>
  <c r="J23" i="6"/>
  <c r="AG30" i="5"/>
  <c r="K17" i="6" s="1"/>
  <c r="J17" i="6"/>
  <c r="Z40" i="5"/>
  <c r="AA40" i="5" s="1"/>
  <c r="K40" i="5"/>
  <c r="L40" i="5" s="1"/>
  <c r="U40" i="5"/>
  <c r="V40" i="5" s="1"/>
  <c r="P40" i="5"/>
  <c r="Q40" i="5" s="1"/>
  <c r="G40" i="5"/>
  <c r="G54" i="5"/>
  <c r="P54" i="5"/>
  <c r="Q54" i="5" s="1"/>
  <c r="K54" i="5"/>
  <c r="L54" i="5" s="1"/>
  <c r="Z54" i="5"/>
  <c r="AA54" i="5" s="1"/>
  <c r="U54" i="5"/>
  <c r="V54" i="5" s="1"/>
  <c r="P59" i="5"/>
  <c r="Q59" i="5" s="1"/>
  <c r="K59" i="5"/>
  <c r="L59" i="5" s="1"/>
  <c r="G59" i="5"/>
  <c r="Z59" i="5"/>
  <c r="AA59" i="5" s="1"/>
  <c r="U59" i="5"/>
  <c r="V59" i="5" s="1"/>
  <c r="U61" i="5"/>
  <c r="V61" i="5" s="1"/>
  <c r="Z61" i="5"/>
  <c r="AA61" i="5" s="1"/>
  <c r="P61" i="5"/>
  <c r="Q61" i="5" s="1"/>
  <c r="K61" i="5"/>
  <c r="L61" i="5" s="1"/>
  <c r="G61" i="5"/>
  <c r="P18" i="5"/>
  <c r="Q18" i="5" s="1"/>
  <c r="K18" i="5"/>
  <c r="L18" i="5" s="1"/>
  <c r="G62" i="5"/>
  <c r="K62" i="5"/>
  <c r="L62" i="5" s="1"/>
  <c r="Z62" i="5"/>
  <c r="AA62" i="5" s="1"/>
  <c r="U62" i="5"/>
  <c r="V62" i="5" s="1"/>
  <c r="P62" i="5"/>
  <c r="Q62" i="5" s="1"/>
  <c r="Z18" i="5"/>
  <c r="AA18" i="5" s="1"/>
  <c r="G18" i="5"/>
  <c r="X27" i="5"/>
  <c r="Y27" i="5" s="1"/>
  <c r="W27" i="5"/>
  <c r="P45" i="5"/>
  <c r="Q45" i="5" s="1"/>
  <c r="G45" i="5"/>
  <c r="Z45" i="5"/>
  <c r="AA45" i="5" s="1"/>
  <c r="U45" i="5"/>
  <c r="V45" i="5" s="1"/>
  <c r="K45" i="5"/>
  <c r="L45" i="5" s="1"/>
  <c r="Z46" i="5"/>
  <c r="AA46" i="5" s="1"/>
  <c r="K46" i="5"/>
  <c r="L46" i="5" s="1"/>
  <c r="G46" i="5"/>
  <c r="P46" i="5"/>
  <c r="Q46" i="5" s="1"/>
  <c r="U46" i="5"/>
  <c r="V46" i="5" s="1"/>
  <c r="AC47" i="5"/>
  <c r="AD47" i="5" s="1"/>
  <c r="AB47" i="5"/>
  <c r="W47" i="5"/>
  <c r="F14" i="6" s="1"/>
  <c r="X47" i="5"/>
  <c r="Y47" i="5" s="1"/>
  <c r="G14" i="6" s="1"/>
  <c r="N47" i="5"/>
  <c r="O47" i="5" s="1"/>
  <c r="E14" i="6" s="1"/>
  <c r="M47" i="5"/>
  <c r="D14" i="6" s="1"/>
  <c r="I47" i="5"/>
  <c r="J47" i="5" s="1"/>
  <c r="C14" i="6" s="1"/>
  <c r="H47" i="5"/>
  <c r="B14" i="6" s="1"/>
  <c r="R47" i="5"/>
  <c r="S47" i="5"/>
  <c r="T47" i="5" s="1"/>
  <c r="G49" i="5"/>
  <c r="U49" i="5"/>
  <c r="V49" i="5" s="1"/>
  <c r="P49" i="5"/>
  <c r="Q49" i="5" s="1"/>
  <c r="Z49" i="5"/>
  <c r="AA49" i="5" s="1"/>
  <c r="K49" i="5"/>
  <c r="L49" i="5" s="1"/>
  <c r="U52" i="5"/>
  <c r="V52" i="5" s="1"/>
  <c r="K52" i="5"/>
  <c r="L52" i="5" s="1"/>
  <c r="G52" i="5"/>
  <c r="P52" i="5"/>
  <c r="Q52" i="5" s="1"/>
  <c r="Z52" i="5"/>
  <c r="AA52" i="5" s="1"/>
  <c r="R26" i="5"/>
  <c r="S26" i="5"/>
  <c r="T26" i="5" s="1"/>
  <c r="X18" i="5"/>
  <c r="Y18" i="5" s="1"/>
  <c r="W18" i="5"/>
  <c r="K19" i="5"/>
  <c r="L19" i="5" s="1"/>
  <c r="P19" i="5"/>
  <c r="Q19" i="5" s="1"/>
  <c r="Z19" i="5"/>
  <c r="AA19" i="5" s="1"/>
  <c r="U19" i="5"/>
  <c r="V19" i="5" s="1"/>
  <c r="S25" i="5"/>
  <c r="T25" i="5" s="1"/>
  <c r="R25" i="5"/>
  <c r="X25" i="5"/>
  <c r="Y25" i="5" s="1"/>
  <c r="W25" i="5"/>
  <c r="AB25" i="5"/>
  <c r="AC25" i="5"/>
  <c r="AD25" i="5" s="1"/>
  <c r="H19" i="5"/>
  <c r="I19" i="5"/>
  <c r="J19" i="5" s="1"/>
  <c r="Z34" i="5"/>
  <c r="AA34" i="5" s="1"/>
  <c r="G34" i="5"/>
  <c r="K34" i="5"/>
  <c r="L34" i="5" s="1"/>
  <c r="M27" i="5"/>
  <c r="N27" i="5"/>
  <c r="O27" i="5" s="1"/>
  <c r="H27" i="5"/>
  <c r="I27" i="5"/>
  <c r="J27" i="5" s="1"/>
  <c r="P34" i="5"/>
  <c r="Q34" i="5" s="1"/>
  <c r="U34" i="5"/>
  <c r="V34" i="5" s="1"/>
  <c r="H25" i="5"/>
  <c r="I25" i="5"/>
  <c r="J25" i="5" s="1"/>
  <c r="M25" i="5"/>
  <c r="N25" i="5"/>
  <c r="O25" i="5" s="1"/>
  <c r="H26" i="5"/>
  <c r="I26" i="5"/>
  <c r="J26" i="5" s="1"/>
  <c r="N26" i="5"/>
  <c r="O26" i="5" s="1"/>
  <c r="M26" i="5"/>
  <c r="U33" i="5"/>
  <c r="V33" i="5" s="1"/>
  <c r="Z33" i="5"/>
  <c r="AA33" i="5" s="1"/>
  <c r="P33" i="5"/>
  <c r="Q33" i="5" s="1"/>
  <c r="K33" i="5"/>
  <c r="L33" i="5" s="1"/>
  <c r="G33" i="5"/>
  <c r="AC20" i="5"/>
  <c r="AD20" i="5" s="1"/>
  <c r="AB20" i="5"/>
  <c r="G24" i="5"/>
  <c r="Z24" i="5"/>
  <c r="AA24" i="5" s="1"/>
  <c r="U24" i="5"/>
  <c r="V24" i="5" s="1"/>
  <c r="P24" i="5"/>
  <c r="Q24" i="5" s="1"/>
  <c r="K24" i="5"/>
  <c r="L24" i="5" s="1"/>
  <c r="W32" i="5"/>
  <c r="X32" i="5"/>
  <c r="Y32" i="5" s="1"/>
  <c r="R20" i="5"/>
  <c r="S20" i="5"/>
  <c r="T20" i="5" s="1"/>
  <c r="W20" i="5"/>
  <c r="X20" i="5"/>
  <c r="Y20" i="5" s="1"/>
  <c r="H32" i="5"/>
  <c r="I32" i="5"/>
  <c r="J32" i="5" s="1"/>
  <c r="I20" i="5"/>
  <c r="J20" i="5" s="1"/>
  <c r="H20" i="5"/>
  <c r="X26" i="5"/>
  <c r="Y26" i="5" s="1"/>
  <c r="W26" i="5"/>
  <c r="AC26" i="5"/>
  <c r="AD26" i="5" s="1"/>
  <c r="AB26" i="5"/>
  <c r="AC29" i="5"/>
  <c r="AD29" i="5" s="1"/>
  <c r="AB29" i="5"/>
  <c r="N29" i="5"/>
  <c r="O29" i="5" s="1"/>
  <c r="M29" i="5"/>
  <c r="S29" i="5"/>
  <c r="T29" i="5" s="1"/>
  <c r="R29" i="5"/>
  <c r="S31" i="5"/>
  <c r="T31" i="5" s="1"/>
  <c r="R31" i="5"/>
  <c r="AB31" i="5"/>
  <c r="AC31" i="5"/>
  <c r="AD31" i="5" s="1"/>
  <c r="X31" i="5"/>
  <c r="Y31" i="5" s="1"/>
  <c r="W31" i="5"/>
  <c r="S32" i="5"/>
  <c r="T32" i="5" s="1"/>
  <c r="R32" i="5"/>
  <c r="Z30" i="5"/>
  <c r="AA30" i="5" s="1"/>
  <c r="P30" i="5"/>
  <c r="Q30" i="5" s="1"/>
  <c r="U30" i="5"/>
  <c r="V30" i="5" s="1"/>
  <c r="K30" i="5"/>
  <c r="L30" i="5" s="1"/>
  <c r="G30" i="5"/>
  <c r="X21" i="5"/>
  <c r="Y21" i="5" s="1"/>
  <c r="W21" i="5"/>
  <c r="AB22" i="5"/>
  <c r="AC22" i="5"/>
  <c r="AD22" i="5" s="1"/>
  <c r="AC21" i="5"/>
  <c r="AD21" i="5" s="1"/>
  <c r="AB21" i="5"/>
  <c r="M21" i="5"/>
  <c r="N21" i="5"/>
  <c r="O21" i="5" s="1"/>
  <c r="R21" i="5"/>
  <c r="S21" i="5"/>
  <c r="T21" i="5" s="1"/>
  <c r="X22" i="5"/>
  <c r="Y22" i="5" s="1"/>
  <c r="W22" i="5"/>
  <c r="N22" i="5"/>
  <c r="O22" i="5" s="1"/>
  <c r="M22" i="5"/>
  <c r="S22" i="5"/>
  <c r="T22" i="5" s="1"/>
  <c r="R22" i="5"/>
  <c r="H23" i="5"/>
  <c r="I23" i="5"/>
  <c r="J23" i="5" s="1"/>
  <c r="X23" i="5"/>
  <c r="Y23" i="5" s="1"/>
  <c r="W23" i="5"/>
  <c r="N23" i="5"/>
  <c r="O23" i="5" s="1"/>
  <c r="M23" i="5"/>
  <c r="S23" i="5"/>
  <c r="T23" i="5" s="1"/>
  <c r="R23" i="5"/>
  <c r="AC23" i="5"/>
  <c r="AD23" i="5" s="1"/>
  <c r="AB23" i="5"/>
  <c r="X29" i="5"/>
  <c r="Y29" i="5" s="1"/>
  <c r="W29" i="5"/>
  <c r="N31" i="5"/>
  <c r="O31" i="5" s="1"/>
  <c r="M31" i="5"/>
  <c r="AC32" i="5"/>
  <c r="AD32" i="5" s="1"/>
  <c r="AB32" i="5"/>
  <c r="N32" i="5"/>
  <c r="O32" i="5" s="1"/>
  <c r="M32" i="5"/>
  <c r="N20" i="5"/>
  <c r="O20" i="5" s="1"/>
  <c r="M20" i="5"/>
  <c r="G35" i="5"/>
  <c r="U35" i="5"/>
  <c r="V35" i="5" s="1"/>
  <c r="P35" i="5"/>
  <c r="Q35" i="5" s="1"/>
  <c r="K35" i="5"/>
  <c r="L35" i="5" s="1"/>
  <c r="Z35" i="5"/>
  <c r="AA35" i="5" s="1"/>
  <c r="Z36" i="5"/>
  <c r="AA36" i="5" s="1"/>
  <c r="U36" i="5"/>
  <c r="V36" i="5" s="1"/>
  <c r="P36" i="5"/>
  <c r="Q36" i="5" s="1"/>
  <c r="K36" i="5"/>
  <c r="L36" i="5" s="1"/>
  <c r="G36" i="5"/>
  <c r="AC27" i="5"/>
  <c r="AD27" i="5" s="1"/>
  <c r="AB27" i="5"/>
  <c r="R27" i="5"/>
  <c r="S27" i="5"/>
  <c r="T27" i="5" s="1"/>
  <c r="N39" i="5" l="1"/>
  <c r="O39" i="5" s="1"/>
  <c r="E6" i="6" s="1"/>
  <c r="M39" i="5"/>
  <c r="D6" i="6" s="1"/>
  <c r="H39" i="5"/>
  <c r="B6" i="6" s="1"/>
  <c r="I39" i="5"/>
  <c r="J39" i="5" s="1"/>
  <c r="C6" i="6" s="1"/>
  <c r="S39" i="5"/>
  <c r="T39" i="5" s="1"/>
  <c r="R39" i="5"/>
  <c r="AB39" i="5"/>
  <c r="AC39" i="5"/>
  <c r="AD39" i="5" s="1"/>
  <c r="W39" i="5"/>
  <c r="F6" i="6" s="1"/>
  <c r="X39" i="5"/>
  <c r="Y39" i="5" s="1"/>
  <c r="G6" i="6" s="1"/>
  <c r="M53" i="5"/>
  <c r="D20" i="6" s="1"/>
  <c r="N53" i="5"/>
  <c r="O53" i="5" s="1"/>
  <c r="E20" i="6" s="1"/>
  <c r="I53" i="5"/>
  <c r="J53" i="5" s="1"/>
  <c r="C20" i="6" s="1"/>
  <c r="H53" i="5"/>
  <c r="B20" i="6" s="1"/>
  <c r="AB53" i="5"/>
  <c r="AC53" i="5"/>
  <c r="AD53" i="5" s="1"/>
  <c r="W53" i="5"/>
  <c r="F20" i="6" s="1"/>
  <c r="X53" i="5"/>
  <c r="Y53" i="5" s="1"/>
  <c r="G20" i="6" s="1"/>
  <c r="S53" i="5"/>
  <c r="T53" i="5" s="1"/>
  <c r="R53" i="5"/>
  <c r="N60" i="5"/>
  <c r="O60" i="5" s="1"/>
  <c r="E27" i="6" s="1"/>
  <c r="M60" i="5"/>
  <c r="D27" i="6" s="1"/>
  <c r="AB60" i="5"/>
  <c r="AC60" i="5"/>
  <c r="AD60" i="5" s="1"/>
  <c r="R60" i="5"/>
  <c r="S60" i="5"/>
  <c r="T60" i="5" s="1"/>
  <c r="X60" i="5"/>
  <c r="Y60" i="5" s="1"/>
  <c r="G27" i="6" s="1"/>
  <c r="W60" i="5"/>
  <c r="F27" i="6" s="1"/>
  <c r="H60" i="5"/>
  <c r="B27" i="6" s="1"/>
  <c r="I60" i="5"/>
  <c r="J60" i="5" s="1"/>
  <c r="C27" i="6" s="1"/>
  <c r="AB28" i="5"/>
  <c r="AC28" i="5"/>
  <c r="AD28" i="5" s="1"/>
  <c r="M28" i="5"/>
  <c r="N28" i="5"/>
  <c r="O28" i="5" s="1"/>
  <c r="W28" i="5"/>
  <c r="X28" i="5"/>
  <c r="Y28" i="5" s="1"/>
  <c r="S28" i="5"/>
  <c r="T28" i="5" s="1"/>
  <c r="R28" i="5"/>
  <c r="AC63" i="5"/>
  <c r="AD63" i="5" s="1"/>
  <c r="AB63" i="5"/>
  <c r="N63" i="5"/>
  <c r="O63" i="5" s="1"/>
  <c r="E30" i="6" s="1"/>
  <c r="M63" i="5"/>
  <c r="D30" i="6" s="1"/>
  <c r="W63" i="5"/>
  <c r="F30" i="6" s="1"/>
  <c r="X63" i="5"/>
  <c r="Y63" i="5" s="1"/>
  <c r="G30" i="6" s="1"/>
  <c r="I28" i="5"/>
  <c r="J28" i="5" s="1"/>
  <c r="H28" i="5"/>
  <c r="W51" i="5"/>
  <c r="F18" i="6" s="1"/>
  <c r="X51" i="5"/>
  <c r="Y51" i="5" s="1"/>
  <c r="G18" i="6" s="1"/>
  <c r="M51" i="5"/>
  <c r="D18" i="6" s="1"/>
  <c r="N51" i="5"/>
  <c r="O51" i="5" s="1"/>
  <c r="E18" i="6" s="1"/>
  <c r="H51" i="5"/>
  <c r="B18" i="6" s="1"/>
  <c r="I51" i="5"/>
  <c r="J51" i="5" s="1"/>
  <c r="C18" i="6" s="1"/>
  <c r="AC51" i="5"/>
  <c r="AD51" i="5" s="1"/>
  <c r="AB51" i="5"/>
  <c r="R51" i="5"/>
  <c r="S51" i="5"/>
  <c r="T51" i="5" s="1"/>
  <c r="M56" i="5"/>
  <c r="D23" i="6" s="1"/>
  <c r="N56" i="5"/>
  <c r="O56" i="5" s="1"/>
  <c r="E23" i="6" s="1"/>
  <c r="S56" i="5"/>
  <c r="T56" i="5" s="1"/>
  <c r="R56" i="5"/>
  <c r="AC56" i="5"/>
  <c r="AD56" i="5" s="1"/>
  <c r="AB56" i="5"/>
  <c r="W56" i="5"/>
  <c r="F23" i="6" s="1"/>
  <c r="X56" i="5"/>
  <c r="Y56" i="5" s="1"/>
  <c r="G23" i="6" s="1"/>
  <c r="H56" i="5"/>
  <c r="B23" i="6" s="1"/>
  <c r="I56" i="5"/>
  <c r="J56" i="5" s="1"/>
  <c r="C23" i="6" s="1"/>
  <c r="AC58" i="5"/>
  <c r="AD58" i="5" s="1"/>
  <c r="AB58" i="5"/>
  <c r="X58" i="5"/>
  <c r="Y58" i="5" s="1"/>
  <c r="G25" i="6" s="1"/>
  <c r="W58" i="5"/>
  <c r="F25" i="6" s="1"/>
  <c r="S58" i="5"/>
  <c r="T58" i="5" s="1"/>
  <c r="R58" i="5"/>
  <c r="N58" i="5"/>
  <c r="O58" i="5" s="1"/>
  <c r="E25" i="6" s="1"/>
  <c r="M58" i="5"/>
  <c r="D25" i="6" s="1"/>
  <c r="I58" i="5"/>
  <c r="J58" i="5" s="1"/>
  <c r="C25" i="6" s="1"/>
  <c r="H58" i="5"/>
  <c r="B25" i="6" s="1"/>
  <c r="M44" i="5"/>
  <c r="D11" i="6" s="1"/>
  <c r="N44" i="5"/>
  <c r="O44" i="5" s="1"/>
  <c r="E11" i="6" s="1"/>
  <c r="AC44" i="5"/>
  <c r="AD44" i="5" s="1"/>
  <c r="AB44" i="5"/>
  <c r="H44" i="5"/>
  <c r="B11" i="6" s="1"/>
  <c r="I44" i="5"/>
  <c r="J44" i="5" s="1"/>
  <c r="C11" i="6" s="1"/>
  <c r="X44" i="5"/>
  <c r="Y44" i="5" s="1"/>
  <c r="G11" i="6" s="1"/>
  <c r="W44" i="5"/>
  <c r="F11" i="6" s="1"/>
  <c r="R44" i="5"/>
  <c r="S44" i="5"/>
  <c r="T44" i="5" s="1"/>
  <c r="AB55" i="5"/>
  <c r="AC55" i="5"/>
  <c r="AD55" i="5" s="1"/>
  <c r="I55" i="5"/>
  <c r="J55" i="5" s="1"/>
  <c r="C22" i="6" s="1"/>
  <c r="H55" i="5"/>
  <c r="B22" i="6" s="1"/>
  <c r="S55" i="5"/>
  <c r="T55" i="5" s="1"/>
  <c r="R55" i="5"/>
  <c r="N55" i="5"/>
  <c r="O55" i="5" s="1"/>
  <c r="E22" i="6" s="1"/>
  <c r="M55" i="5"/>
  <c r="D22" i="6" s="1"/>
  <c r="X55" i="5"/>
  <c r="Y55" i="5" s="1"/>
  <c r="G22" i="6" s="1"/>
  <c r="W55" i="5"/>
  <c r="F22" i="6" s="1"/>
  <c r="AC57" i="5"/>
  <c r="AD57" i="5" s="1"/>
  <c r="AB57" i="5"/>
  <c r="N57" i="5"/>
  <c r="O57" i="5" s="1"/>
  <c r="E24" i="6" s="1"/>
  <c r="M57" i="5"/>
  <c r="D24" i="6" s="1"/>
  <c r="S57" i="5"/>
  <c r="T57" i="5" s="1"/>
  <c r="R57" i="5"/>
  <c r="W57" i="5"/>
  <c r="F24" i="6" s="1"/>
  <c r="X57" i="5"/>
  <c r="Y57" i="5" s="1"/>
  <c r="G24" i="6" s="1"/>
  <c r="I57" i="5"/>
  <c r="J57" i="5" s="1"/>
  <c r="C24" i="6" s="1"/>
  <c r="H57" i="5"/>
  <c r="B24" i="6" s="1"/>
  <c r="I50" i="5"/>
  <c r="J50" i="5" s="1"/>
  <c r="C17" i="6" s="1"/>
  <c r="H50" i="5"/>
  <c r="B17" i="6" s="1"/>
  <c r="S50" i="5"/>
  <c r="T50" i="5" s="1"/>
  <c r="R50" i="5"/>
  <c r="W50" i="5"/>
  <c r="F17" i="6" s="1"/>
  <c r="X50" i="5"/>
  <c r="Y50" i="5" s="1"/>
  <c r="G17" i="6" s="1"/>
  <c r="AB50" i="5"/>
  <c r="AC50" i="5"/>
  <c r="AD50" i="5" s="1"/>
  <c r="M50" i="5"/>
  <c r="D17" i="6" s="1"/>
  <c r="N50" i="5"/>
  <c r="O50" i="5" s="1"/>
  <c r="E17" i="6" s="1"/>
  <c r="AC40" i="5"/>
  <c r="AD40" i="5" s="1"/>
  <c r="AB40" i="5"/>
  <c r="N40" i="5"/>
  <c r="O40" i="5" s="1"/>
  <c r="E7" i="6" s="1"/>
  <c r="M40" i="5"/>
  <c r="D7" i="6" s="1"/>
  <c r="W40" i="5"/>
  <c r="F7" i="6" s="1"/>
  <c r="X40" i="5"/>
  <c r="Y40" i="5" s="1"/>
  <c r="G7" i="6" s="1"/>
  <c r="R40" i="5"/>
  <c r="S40" i="5"/>
  <c r="T40" i="5" s="1"/>
  <c r="H40" i="5"/>
  <c r="B7" i="6" s="1"/>
  <c r="I40" i="5"/>
  <c r="J40" i="5" s="1"/>
  <c r="C7" i="6" s="1"/>
  <c r="H54" i="5"/>
  <c r="B21" i="6" s="1"/>
  <c r="I54" i="5"/>
  <c r="J54" i="5" s="1"/>
  <c r="C21" i="6" s="1"/>
  <c r="S54" i="5"/>
  <c r="T54" i="5" s="1"/>
  <c r="R54" i="5"/>
  <c r="N54" i="5"/>
  <c r="O54" i="5" s="1"/>
  <c r="E21" i="6" s="1"/>
  <c r="M54" i="5"/>
  <c r="D21" i="6" s="1"/>
  <c r="AC54" i="5"/>
  <c r="AD54" i="5" s="1"/>
  <c r="AB54" i="5"/>
  <c r="W54" i="5"/>
  <c r="F21" i="6" s="1"/>
  <c r="X54" i="5"/>
  <c r="Y54" i="5" s="1"/>
  <c r="G21" i="6" s="1"/>
  <c r="R59" i="5"/>
  <c r="S59" i="5"/>
  <c r="T59" i="5" s="1"/>
  <c r="N59" i="5"/>
  <c r="O59" i="5" s="1"/>
  <c r="E26" i="6" s="1"/>
  <c r="M59" i="5"/>
  <c r="D26" i="6" s="1"/>
  <c r="H59" i="5"/>
  <c r="B26" i="6" s="1"/>
  <c r="I59" i="5"/>
  <c r="J59" i="5" s="1"/>
  <c r="C26" i="6" s="1"/>
  <c r="AC59" i="5"/>
  <c r="AD59" i="5" s="1"/>
  <c r="AB59" i="5"/>
  <c r="X59" i="5"/>
  <c r="Y59" i="5" s="1"/>
  <c r="G26" i="6" s="1"/>
  <c r="W59" i="5"/>
  <c r="F26" i="6" s="1"/>
  <c r="W61" i="5"/>
  <c r="F28" i="6" s="1"/>
  <c r="X61" i="5"/>
  <c r="Y61" i="5" s="1"/>
  <c r="G28" i="6" s="1"/>
  <c r="AC61" i="5"/>
  <c r="AD61" i="5" s="1"/>
  <c r="AB61" i="5"/>
  <c r="S61" i="5"/>
  <c r="T61" i="5" s="1"/>
  <c r="R61" i="5"/>
  <c r="M61" i="5"/>
  <c r="D28" i="6" s="1"/>
  <c r="N61" i="5"/>
  <c r="O61" i="5" s="1"/>
  <c r="E28" i="6" s="1"/>
  <c r="I61" i="5"/>
  <c r="J61" i="5" s="1"/>
  <c r="C28" i="6" s="1"/>
  <c r="H61" i="5"/>
  <c r="B28" i="6" s="1"/>
  <c r="S18" i="5"/>
  <c r="T18" i="5" s="1"/>
  <c r="R18" i="5"/>
  <c r="M18" i="5"/>
  <c r="N18" i="5"/>
  <c r="O18" i="5" s="1"/>
  <c r="H62" i="5"/>
  <c r="B29" i="6" s="1"/>
  <c r="I62" i="5"/>
  <c r="J62" i="5" s="1"/>
  <c r="C29" i="6" s="1"/>
  <c r="M62" i="5"/>
  <c r="D29" i="6" s="1"/>
  <c r="N62" i="5"/>
  <c r="O62" i="5" s="1"/>
  <c r="E29" i="6" s="1"/>
  <c r="AC62" i="5"/>
  <c r="AD62" i="5" s="1"/>
  <c r="AB62" i="5"/>
  <c r="W62" i="5"/>
  <c r="F29" i="6" s="1"/>
  <c r="X62" i="5"/>
  <c r="Y62" i="5" s="1"/>
  <c r="G29" i="6" s="1"/>
  <c r="S62" i="5"/>
  <c r="T62" i="5" s="1"/>
  <c r="R62" i="5"/>
  <c r="AC18" i="5"/>
  <c r="AD18" i="5" s="1"/>
  <c r="AB18" i="5"/>
  <c r="I18" i="5"/>
  <c r="J18" i="5" s="1"/>
  <c r="H18" i="5"/>
  <c r="R45" i="5"/>
  <c r="S45" i="5"/>
  <c r="T45" i="5" s="1"/>
  <c r="I45" i="5"/>
  <c r="J45" i="5" s="1"/>
  <c r="C12" i="6" s="1"/>
  <c r="H45" i="5"/>
  <c r="B12" i="6" s="1"/>
  <c r="AB45" i="5"/>
  <c r="AC45" i="5"/>
  <c r="AD45" i="5" s="1"/>
  <c r="W45" i="5"/>
  <c r="F12" i="6" s="1"/>
  <c r="X45" i="5"/>
  <c r="Y45" i="5" s="1"/>
  <c r="G12" i="6" s="1"/>
  <c r="M45" i="5"/>
  <c r="D12" i="6" s="1"/>
  <c r="N45" i="5"/>
  <c r="O45" i="5" s="1"/>
  <c r="E12" i="6" s="1"/>
  <c r="AB46" i="5"/>
  <c r="AC46" i="5"/>
  <c r="AD46" i="5" s="1"/>
  <c r="M46" i="5"/>
  <c r="D13" i="6" s="1"/>
  <c r="N46" i="5"/>
  <c r="O46" i="5" s="1"/>
  <c r="E13" i="6" s="1"/>
  <c r="H46" i="5"/>
  <c r="B13" i="6" s="1"/>
  <c r="I46" i="5"/>
  <c r="J46" i="5" s="1"/>
  <c r="C13" i="6" s="1"/>
  <c r="R46" i="5"/>
  <c r="S46" i="5"/>
  <c r="T46" i="5" s="1"/>
  <c r="X46" i="5"/>
  <c r="Y46" i="5" s="1"/>
  <c r="G13" i="6" s="1"/>
  <c r="W46" i="5"/>
  <c r="F13" i="6" s="1"/>
  <c r="I49" i="5"/>
  <c r="J49" i="5" s="1"/>
  <c r="C16" i="6" s="1"/>
  <c r="H49" i="5"/>
  <c r="B16" i="6" s="1"/>
  <c r="W49" i="5"/>
  <c r="F16" i="6" s="1"/>
  <c r="X49" i="5"/>
  <c r="Y49" i="5" s="1"/>
  <c r="G16" i="6" s="1"/>
  <c r="R49" i="5"/>
  <c r="S49" i="5"/>
  <c r="T49" i="5" s="1"/>
  <c r="AB49" i="5"/>
  <c r="AC49" i="5"/>
  <c r="AD49" i="5" s="1"/>
  <c r="M49" i="5"/>
  <c r="D16" i="6" s="1"/>
  <c r="N49" i="5"/>
  <c r="O49" i="5" s="1"/>
  <c r="E16" i="6" s="1"/>
  <c r="W52" i="5"/>
  <c r="F19" i="6" s="1"/>
  <c r="X52" i="5"/>
  <c r="Y52" i="5" s="1"/>
  <c r="G19" i="6" s="1"/>
  <c r="M52" i="5"/>
  <c r="D19" i="6" s="1"/>
  <c r="N52" i="5"/>
  <c r="O52" i="5" s="1"/>
  <c r="E19" i="6" s="1"/>
  <c r="I52" i="5"/>
  <c r="J52" i="5" s="1"/>
  <c r="C19" i="6" s="1"/>
  <c r="H52" i="5"/>
  <c r="B19" i="6" s="1"/>
  <c r="R52" i="5"/>
  <c r="S52" i="5"/>
  <c r="T52" i="5" s="1"/>
  <c r="AC52" i="5"/>
  <c r="AD52" i="5" s="1"/>
  <c r="AB52" i="5"/>
  <c r="M19" i="5"/>
  <c r="N19" i="5"/>
  <c r="O19" i="5" s="1"/>
  <c r="R19" i="5"/>
  <c r="S19" i="5"/>
  <c r="T19" i="5" s="1"/>
  <c r="AC19" i="5"/>
  <c r="AD19" i="5" s="1"/>
  <c r="AB19" i="5"/>
  <c r="X19" i="5"/>
  <c r="Y19" i="5" s="1"/>
  <c r="W19" i="5"/>
  <c r="AB34" i="5"/>
  <c r="AC34" i="5"/>
  <c r="AD34" i="5" s="1"/>
  <c r="H34" i="5"/>
  <c r="I34" i="5"/>
  <c r="J34" i="5" s="1"/>
  <c r="N34" i="5"/>
  <c r="O34" i="5" s="1"/>
  <c r="M34" i="5"/>
  <c r="S34" i="5"/>
  <c r="T34" i="5" s="1"/>
  <c r="R34" i="5"/>
  <c r="X34" i="5"/>
  <c r="Y34" i="5" s="1"/>
  <c r="W34" i="5"/>
  <c r="I24" i="5"/>
  <c r="J24" i="5" s="1"/>
  <c r="H24" i="5"/>
  <c r="AB24" i="5"/>
  <c r="AC24" i="5"/>
  <c r="AD24" i="5" s="1"/>
  <c r="S24" i="5"/>
  <c r="T24" i="5" s="1"/>
  <c r="R24" i="5"/>
  <c r="AB30" i="5"/>
  <c r="AC30" i="5"/>
  <c r="AD30" i="5" s="1"/>
  <c r="S30" i="5"/>
  <c r="T30" i="5" s="1"/>
  <c r="R30" i="5"/>
  <c r="X30" i="5"/>
  <c r="Y30" i="5" s="1"/>
  <c r="W30" i="5"/>
  <c r="N30" i="5"/>
  <c r="O30" i="5" s="1"/>
  <c r="M30" i="5"/>
  <c r="H30" i="5"/>
  <c r="I30" i="5"/>
  <c r="J30" i="5" s="1"/>
  <c r="W33" i="5"/>
  <c r="X33" i="5"/>
  <c r="Y33" i="5" s="1"/>
  <c r="AC33" i="5"/>
  <c r="AD33" i="5" s="1"/>
  <c r="AB33" i="5"/>
  <c r="R33" i="5"/>
  <c r="S33" i="5"/>
  <c r="T33" i="5" s="1"/>
  <c r="M33" i="5"/>
  <c r="N33" i="5"/>
  <c r="O33" i="5" s="1"/>
  <c r="I33" i="5"/>
  <c r="J33" i="5" s="1"/>
  <c r="H33" i="5"/>
  <c r="M24" i="5"/>
  <c r="N24" i="5"/>
  <c r="O24" i="5" s="1"/>
  <c r="W24" i="5"/>
  <c r="X24" i="5"/>
  <c r="Y24" i="5" s="1"/>
  <c r="H35" i="5"/>
  <c r="I35" i="5"/>
  <c r="J35" i="5" s="1"/>
  <c r="W35" i="5"/>
  <c r="X35" i="5"/>
  <c r="Y35" i="5" s="1"/>
  <c r="R35" i="5"/>
  <c r="S35" i="5"/>
  <c r="T35" i="5" s="1"/>
  <c r="M35" i="5"/>
  <c r="N35" i="5"/>
  <c r="O35" i="5" s="1"/>
  <c r="AB35" i="5"/>
  <c r="AC35" i="5"/>
  <c r="AD35" i="5" s="1"/>
  <c r="AC36" i="5"/>
  <c r="AD36" i="5" s="1"/>
  <c r="AB36" i="5"/>
  <c r="W36" i="5"/>
  <c r="X36" i="5"/>
  <c r="Y36" i="5" s="1"/>
  <c r="R36" i="5"/>
  <c r="S36" i="5"/>
  <c r="T36" i="5" s="1"/>
  <c r="M36" i="5"/>
  <c r="N36" i="5"/>
  <c r="O36" i="5" s="1"/>
  <c r="I36" i="5"/>
  <c r="J36" i="5" s="1"/>
  <c r="H36" i="5"/>
</calcChain>
</file>

<file path=xl/sharedStrings.xml><?xml version="1.0" encoding="utf-8"?>
<sst xmlns="http://schemas.openxmlformats.org/spreadsheetml/2006/main" count="90" uniqueCount="53">
  <si>
    <t>当前价格</t>
  </si>
  <si>
    <t>预期最高价</t>
  </si>
  <si>
    <t>预期最低价</t>
  </si>
  <si>
    <t>总资金</t>
  </si>
  <si>
    <t>胜率（保守估计）</t>
  </si>
  <si>
    <t>上涨空间</t>
  </si>
  <si>
    <t>下跌空间</t>
  </si>
  <si>
    <t>盈亏比</t>
  </si>
  <si>
    <t>亏损占总资金比例</t>
  </si>
  <si>
    <t>亏损占总资金比例</t>
    <phoneticPr fontId="1" type="noConversion"/>
  </si>
  <si>
    <t>可用资金</t>
    <phoneticPr fontId="1" type="noConversion"/>
  </si>
  <si>
    <r>
      <rPr>
        <sz val="10"/>
        <color theme="1"/>
        <rFont val="等线"/>
        <family val="2"/>
      </rPr>
      <t>全凯利公式：</t>
    </r>
    <r>
      <rPr>
        <sz val="10"/>
        <color theme="1"/>
        <rFont val="Segoe UI"/>
        <family val="2"/>
      </rPr>
      <t>p=</t>
    </r>
    <r>
      <rPr>
        <sz val="10"/>
        <color theme="1"/>
        <rFont val="等线"/>
        <family val="2"/>
      </rPr>
      <t>胜率</t>
    </r>
    <r>
      <rPr>
        <sz val="10"/>
        <color theme="1"/>
        <rFont val="Segoe UI"/>
        <family val="2"/>
      </rPr>
      <t xml:space="preserve"> b=</t>
    </r>
    <r>
      <rPr>
        <sz val="10"/>
        <color theme="1"/>
        <rFont val="等线"/>
        <family val="2"/>
      </rPr>
      <t>盈亏比</t>
    </r>
    <phoneticPr fontId="1" type="noConversion"/>
  </si>
  <si>
    <r>
      <rPr>
        <sz val="10"/>
        <color rgb="FF0F1115"/>
        <rFont val="微软雅黑"/>
        <family val="2"/>
        <charset val="134"/>
      </rPr>
      <t>盈亏平衡胜率公式</t>
    </r>
    <r>
      <rPr>
        <sz val="10"/>
        <color rgb="FF0F1115"/>
        <rFont val="宋体"/>
        <family val="2"/>
        <charset val="134"/>
      </rPr>
      <t>：</t>
    </r>
    <r>
      <rPr>
        <sz val="10"/>
        <color rgb="FF0F1115"/>
        <rFont val="Segoe UI"/>
        <family val="2"/>
      </rPr>
      <t>rl=</t>
    </r>
    <r>
      <rPr>
        <sz val="10"/>
        <color rgb="FF0F1115"/>
        <rFont val="宋体"/>
        <family val="2"/>
        <charset val="134"/>
      </rPr>
      <t xml:space="preserve">下跌空间 </t>
    </r>
    <r>
      <rPr>
        <sz val="10"/>
        <color rgb="FF0F1115"/>
        <rFont val="Segoe UI"/>
        <family val="2"/>
      </rPr>
      <t>rw=</t>
    </r>
    <r>
      <rPr>
        <sz val="10"/>
        <color rgb="FF0F1115"/>
        <rFont val="宋体"/>
        <family val="2"/>
        <charset val="134"/>
      </rPr>
      <t>上涨空间</t>
    </r>
    <phoneticPr fontId="1" type="noConversion"/>
  </si>
  <si>
    <t>盈亏平衡胜率</t>
    <phoneticPr fontId="1" type="noConversion"/>
  </si>
  <si>
    <t>更准确的胜率需要回测</t>
    <phoneticPr fontId="1" type="noConversion"/>
  </si>
  <si>
    <t>股数</t>
  </si>
  <si>
    <t>股数</t>
    <phoneticPr fontId="1" type="noConversion"/>
  </si>
  <si>
    <t>7舍8入</t>
    <phoneticPr fontId="1" type="noConversion"/>
  </si>
  <si>
    <t>全凯利</t>
    <phoneticPr fontId="1" type="noConversion"/>
  </si>
  <si>
    <t>推荐仓位</t>
  </si>
  <si>
    <t>推荐仓位</t>
    <phoneticPr fontId="1" type="noConversion"/>
  </si>
  <si>
    <t>投入金额</t>
  </si>
  <si>
    <t>投入金额</t>
    <phoneticPr fontId="1" type="noConversion"/>
  </si>
  <si>
    <t>半凯利</t>
    <phoneticPr fontId="1" type="noConversion"/>
  </si>
  <si>
    <t>最大亏损</t>
    <phoneticPr fontId="1" type="noConversion"/>
  </si>
  <si>
    <t>占总资金比例</t>
    <phoneticPr fontId="1" type="noConversion"/>
  </si>
  <si>
    <t>仓位不显示负数</t>
    <phoneticPr fontId="1" type="noConversion"/>
  </si>
  <si>
    <t>黄色格子需要手动填写，每天复盘时更新</t>
    <phoneticPr fontId="1" type="noConversion"/>
  </si>
  <si>
    <r>
      <rPr>
        <sz val="10"/>
        <color rgb="FFFF0000"/>
        <rFont val="等线"/>
        <family val="2"/>
      </rPr>
      <t>每笔交易亏损不超过总资金的</t>
    </r>
    <r>
      <rPr>
        <sz val="10"/>
        <color rgb="FFFF0000"/>
        <rFont val="Segoe UI"/>
        <family val="2"/>
      </rPr>
      <t>3%</t>
    </r>
    <phoneticPr fontId="1" type="noConversion"/>
  </si>
  <si>
    <t>四分之三</t>
    <phoneticPr fontId="1" type="noConversion"/>
  </si>
  <si>
    <t>三分之二</t>
    <phoneticPr fontId="1" type="noConversion"/>
  </si>
  <si>
    <t>系数</t>
    <phoneticPr fontId="1" type="noConversion"/>
  </si>
  <si>
    <t>三分之一</t>
    <phoneticPr fontId="1" type="noConversion"/>
  </si>
  <si>
    <t>止损规则：跌破最低位-2%，则立刻止损离场，可确保每笔交易亏损不超过总资金的5%</t>
    <phoneticPr fontId="1" type="noConversion"/>
  </si>
  <si>
    <t>每笔交易后，需更新可用资金，然后重新计算</t>
    <phoneticPr fontId="1" type="noConversion"/>
  </si>
  <si>
    <t>如何估计胜率</t>
    <phoneticPr fontId="1" type="noConversion"/>
  </si>
  <si>
    <t>如何减仓</t>
    <phoneticPr fontId="1" type="noConversion"/>
  </si>
  <si>
    <t>持仓股数</t>
    <phoneticPr fontId="1" type="noConversion"/>
  </si>
  <si>
    <t>如何减仓（自己拍脑袋的策略）盈亏比线性插值法</t>
    <phoneticPr fontId="1" type="noConversion"/>
  </si>
  <si>
    <t>盈亏比</t>
    <phoneticPr fontId="1" type="noConversion"/>
  </si>
  <si>
    <t>终点</t>
    <phoneticPr fontId="1" type="noConversion"/>
  </si>
  <si>
    <t>减仓起点</t>
    <phoneticPr fontId="1" type="noConversion"/>
  </si>
  <si>
    <t>减仓比例</t>
    <phoneticPr fontId="1" type="noConversion"/>
  </si>
  <si>
    <t>减仓策略</t>
    <phoneticPr fontId="1" type="noConversion"/>
  </si>
  <si>
    <t>差值结果</t>
    <phoneticPr fontId="1" type="noConversion"/>
  </si>
  <si>
    <t>目前自己拍脑袋了一个，基于重新计算盈亏比的减仓模式</t>
    <phoneticPr fontId="1" type="noConversion"/>
  </si>
  <si>
    <t>每次减仓后，要更新持股数量</t>
    <phoneticPr fontId="1" type="noConversion"/>
  </si>
  <si>
    <t>盈亏比大于起点，不减仓</t>
    <phoneticPr fontId="1" type="noConversion"/>
  </si>
  <si>
    <t>盈亏比介于两者之间，按插值比例减仓</t>
    <phoneticPr fontId="1" type="noConversion"/>
  </si>
  <si>
    <t>盈亏比小于终点，按最大比例减仓</t>
    <phoneticPr fontId="1" type="noConversion"/>
  </si>
  <si>
    <t>股价超过最高价，清仓</t>
    <phoneticPr fontId="1" type="noConversion"/>
  </si>
  <si>
    <t>加仓部分</t>
    <phoneticPr fontId="1" type="noConversion"/>
  </si>
  <si>
    <t>减仓部分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</si>
</sst>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.000_ "/>
    <numFmt numFmtId="183" formatCode="0.0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F1115"/>
      <name val="Segoe UI"/>
      <family val="2"/>
    </font>
    <font>
      <sz val="10"/>
      <color rgb="FF0F1115"/>
      <name val="微软雅黑"/>
      <family val="2"/>
      <charset val="134"/>
    </font>
    <font>
      <sz val="10"/>
      <color rgb="FF0F1115"/>
      <name val="宋体"/>
      <family val="2"/>
      <charset val="134"/>
    </font>
    <font>
      <sz val="10"/>
      <color theme="1"/>
      <name val="Segoe UI"/>
      <family val="2"/>
    </font>
    <font>
      <sz val="10"/>
      <color theme="1"/>
      <name val="等线"/>
      <family val="2"/>
    </font>
    <font>
      <sz val="10"/>
      <color rgb="FFFF0000"/>
      <name val="宋体"/>
      <family val="2"/>
      <charset val="134"/>
    </font>
    <font>
      <sz val="10"/>
      <color rgb="FFFF0000"/>
      <name val="Segoe UI"/>
      <family val="2"/>
    </font>
    <font>
      <sz val="10"/>
      <color rgb="FFFF0000"/>
      <name val="等线"/>
      <family val="2"/>
    </font>
    <font>
      <sz val="11"/>
      <color theme="1"/>
      <name val="等线"/>
      <family val="3"/>
      <charset val="134"/>
      <scheme val="minor"/>
    </font>
    <font>
      <sz val="10"/>
      <color rgb="FF0F1115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0"/>
      <color rgb="FF0F1115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0FC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0" borderId="0" xfId="0" applyFont="1"/>
    <xf numFmtId="0" fontId="5" fillId="3" borderId="0" xfId="0" applyFont="1" applyFill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2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181" fontId="11" fillId="3" borderId="1" xfId="0" applyNumberFormat="1" applyFont="1" applyFill="1" applyBorder="1" applyAlignment="1">
      <alignment vertical="center" wrapText="1"/>
    </xf>
    <xf numFmtId="3" fontId="12" fillId="3" borderId="1" xfId="0" applyNumberFormat="1" applyFont="1" applyFill="1" applyBorder="1" applyAlignment="1">
      <alignment vertical="center" wrapText="1"/>
    </xf>
    <xf numFmtId="3" fontId="11" fillId="3" borderId="1" xfId="0" applyNumberFormat="1" applyFont="1" applyFill="1" applyBorder="1" applyAlignment="1">
      <alignment vertical="center" wrapText="1"/>
    </xf>
    <xf numFmtId="10" fontId="12" fillId="3" borderId="1" xfId="0" applyNumberFormat="1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10" fontId="11" fillId="2" borderId="1" xfId="0" applyNumberFormat="1" applyFont="1" applyFill="1" applyBorder="1" applyAlignment="1">
      <alignment vertical="center" wrapText="1"/>
    </xf>
    <xf numFmtId="181" fontId="11" fillId="2" borderId="1" xfId="0" applyNumberFormat="1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vertical="center" wrapText="1"/>
    </xf>
    <xf numFmtId="3" fontId="13" fillId="4" borderId="1" xfId="0" applyNumberFormat="1" applyFont="1" applyFill="1" applyBorder="1" applyAlignment="1">
      <alignment vertical="center" wrapText="1"/>
    </xf>
    <xf numFmtId="10" fontId="12" fillId="2" borderId="1" xfId="0" applyNumberFormat="1" applyFont="1" applyFill="1" applyBorder="1" applyAlignment="1">
      <alignment vertical="center" wrapText="1"/>
    </xf>
    <xf numFmtId="0" fontId="14" fillId="0" borderId="0" xfId="0" applyFont="1"/>
    <xf numFmtId="0" fontId="0" fillId="3" borderId="1" xfId="0" applyFill="1" applyBorder="1"/>
    <xf numFmtId="10" fontId="16" fillId="4" borderId="1" xfId="0" applyNumberFormat="1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10" fontId="16" fillId="5" borderId="1" xfId="0" applyNumberFormat="1" applyFont="1" applyFill="1" applyBorder="1" applyAlignment="1">
      <alignment vertical="center" wrapText="1"/>
    </xf>
    <xf numFmtId="3" fontId="11" fillId="5" borderId="1" xfId="0" applyNumberFormat="1" applyFont="1" applyFill="1" applyBorder="1" applyAlignment="1">
      <alignment vertical="center" wrapText="1"/>
    </xf>
    <xf numFmtId="3" fontId="13" fillId="5" borderId="1" xfId="0" applyNumberFormat="1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10" fontId="16" fillId="6" borderId="1" xfId="0" applyNumberFormat="1" applyFont="1" applyFill="1" applyBorder="1" applyAlignment="1">
      <alignment vertical="center" wrapText="1"/>
    </xf>
    <xf numFmtId="3" fontId="11" fillId="6" borderId="1" xfId="0" applyNumberFormat="1" applyFont="1" applyFill="1" applyBorder="1" applyAlignment="1">
      <alignment vertical="center" wrapText="1"/>
    </xf>
    <xf numFmtId="3" fontId="13" fillId="6" borderId="1" xfId="0" applyNumberFormat="1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10" fontId="11" fillId="7" borderId="1" xfId="0" applyNumberFormat="1" applyFont="1" applyFill="1" applyBorder="1" applyAlignment="1">
      <alignment vertical="center" wrapText="1"/>
    </xf>
    <xf numFmtId="3" fontId="11" fillId="7" borderId="1" xfId="0" applyNumberFormat="1" applyFont="1" applyFill="1" applyBorder="1" applyAlignment="1">
      <alignment vertical="center" wrapText="1"/>
    </xf>
    <xf numFmtId="3" fontId="13" fillId="7" borderId="1" xfId="0" applyNumberFormat="1" applyFont="1" applyFill="1" applyBorder="1" applyAlignment="1">
      <alignment vertical="center" wrapText="1"/>
    </xf>
    <xf numFmtId="10" fontId="16" fillId="7" borderId="1" xfId="0" applyNumberFormat="1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10" fontId="16" fillId="8" borderId="1" xfId="0" applyNumberFormat="1" applyFont="1" applyFill="1" applyBorder="1" applyAlignment="1">
      <alignment vertical="center" wrapText="1"/>
    </xf>
    <xf numFmtId="3" fontId="11" fillId="8" borderId="1" xfId="0" applyNumberFormat="1" applyFont="1" applyFill="1" applyBorder="1" applyAlignment="1">
      <alignment vertical="center" wrapText="1"/>
    </xf>
    <xf numFmtId="3" fontId="13" fillId="8" borderId="1" xfId="0" applyNumberFormat="1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4" fillId="3" borderId="0" xfId="0" applyFont="1" applyFill="1"/>
    <xf numFmtId="0" fontId="0" fillId="0" borderId="1" xfId="0" applyBorder="1"/>
    <xf numFmtId="0" fontId="14" fillId="3" borderId="1" xfId="0" applyFont="1" applyFill="1" applyBorder="1"/>
    <xf numFmtId="9" fontId="14" fillId="3" borderId="1" xfId="0" applyNumberFormat="1" applyFont="1" applyFill="1" applyBorder="1"/>
    <xf numFmtId="0" fontId="0" fillId="7" borderId="1" xfId="0" applyFill="1" applyBorder="1" applyAlignment="1">
      <alignment horizontal="center"/>
    </xf>
    <xf numFmtId="0" fontId="15" fillId="7" borderId="1" xfId="0" applyFont="1" applyFill="1" applyBorder="1"/>
    <xf numFmtId="0" fontId="15" fillId="0" borderId="0" xfId="0" applyFont="1"/>
    <xf numFmtId="183" fontId="13" fillId="3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10"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</dxfs>
  <tableStyles count="0" defaultTableStyle="TableStyleMedium2" defaultPivotStyle="PivotStyleLight16"/>
  <colors>
    <mruColors>
      <color rgb="FFFCD0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176212</xdr:rowOff>
    </xdr:from>
    <xdr:to>
      <xdr:col>8</xdr:col>
      <xdr:colOff>348438</xdr:colOff>
      <xdr:row>25</xdr:row>
      <xdr:rowOff>161924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97FCA42-EA0E-0D6A-57E9-720232D72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76212"/>
          <a:ext cx="5153801" cy="43910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14</xdr:col>
      <xdr:colOff>197876</xdr:colOff>
      <xdr:row>25</xdr:row>
      <xdr:rowOff>142875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B60A898-0C91-4CE2-B64F-906B7FF99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0763" y="176213"/>
          <a:ext cx="3707838" cy="437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1895475" cy="613773"/>
    <xdr:pic>
      <xdr:nvPicPr>
        <xdr:cNvPr id="4" name="图片 3">
          <a:extLst>
            <a:ext uri="{FF2B5EF4-FFF2-40B4-BE49-F238E27FC236}">
              <a16:creationId xmlns:a16="http://schemas.microsoft.com/office/drawing/2014/main" id="{701151E2-5EC9-47BA-A99E-BAE68FE15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6838"/>
          <a:ext cx="1895475" cy="613773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1747850</xdr:colOff>
      <xdr:row>3</xdr:row>
      <xdr:rowOff>133354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2C8E2D4-4200-E09D-3C0A-8307B6829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263"/>
          <a:ext cx="1747850" cy="5238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D9F5-6D85-4B6F-8FB7-7E83C1949E4C}">
  <dimension ref="A1:K33"/>
  <sheetViews>
    <sheetView tabSelected="1" workbookViewId="0">
      <selection activeCell="N15" sqref="N15"/>
    </sheetView>
  </sheetViews>
  <sheetFormatPr defaultRowHeight="13.9" x14ac:dyDescent="0.4"/>
  <cols>
    <col min="8" max="8" width="8.265625" bestFit="1" customWidth="1"/>
    <col min="9" max="9" width="8.796875" bestFit="1" customWidth="1"/>
    <col min="10" max="10" width="8.265625" bestFit="1" customWidth="1"/>
    <col min="11" max="11" width="6.53125" bestFit="1" customWidth="1"/>
  </cols>
  <sheetData>
    <row r="1" spans="1:11" x14ac:dyDescent="0.4">
      <c r="A1" s="49" t="s">
        <v>51</v>
      </c>
      <c r="I1" s="49" t="s">
        <v>52</v>
      </c>
      <c r="J1" s="49"/>
      <c r="K1" s="49"/>
    </row>
    <row r="2" spans="1:11" ht="15.4" x14ac:dyDescent="0.55000000000000004">
      <c r="A2" s="3"/>
      <c r="B2" s="3" t="s">
        <v>17</v>
      </c>
      <c r="C2" s="4" t="s">
        <v>28</v>
      </c>
      <c r="D2" s="4"/>
      <c r="E2" s="4"/>
      <c r="F2" s="5"/>
      <c r="G2" s="5"/>
      <c r="K2" s="3" t="s">
        <v>17</v>
      </c>
    </row>
    <row r="3" spans="1:11" x14ac:dyDescent="0.4">
      <c r="A3" s="5"/>
      <c r="B3" s="38" t="s">
        <v>18</v>
      </c>
      <c r="C3" s="38"/>
      <c r="D3" s="39" t="s">
        <v>29</v>
      </c>
      <c r="E3" s="39"/>
      <c r="F3" s="41" t="s">
        <v>23</v>
      </c>
      <c r="G3" s="41"/>
      <c r="J3" s="47" t="s">
        <v>43</v>
      </c>
      <c r="K3" s="47"/>
    </row>
    <row r="4" spans="1:11" ht="25.5" x14ac:dyDescent="0.4">
      <c r="A4" s="6" t="s">
        <v>0</v>
      </c>
      <c r="B4" s="29" t="s">
        <v>16</v>
      </c>
      <c r="C4" s="29" t="s">
        <v>9</v>
      </c>
      <c r="D4" s="21" t="s">
        <v>16</v>
      </c>
      <c r="E4" s="21" t="s">
        <v>8</v>
      </c>
      <c r="F4" s="12" t="s">
        <v>15</v>
      </c>
      <c r="G4" s="12" t="s">
        <v>8</v>
      </c>
      <c r="I4" s="6" t="s">
        <v>0</v>
      </c>
      <c r="J4" s="29" t="s">
        <v>42</v>
      </c>
      <c r="K4" s="29" t="s">
        <v>16</v>
      </c>
    </row>
    <row r="5" spans="1:11" x14ac:dyDescent="0.4">
      <c r="A5" s="50">
        <f>凯利公式!A38</f>
        <v>2.8</v>
      </c>
      <c r="B5" s="32">
        <f>凯利公式!H38</f>
        <v>0</v>
      </c>
      <c r="C5" s="33">
        <f>凯利公式!J38</f>
        <v>0</v>
      </c>
      <c r="D5" s="24">
        <f>凯利公式!M38</f>
        <v>0</v>
      </c>
      <c r="E5" s="22">
        <f>凯利公式!O38</f>
        <v>0</v>
      </c>
      <c r="F5" s="16">
        <f>凯利公式!W38</f>
        <v>0</v>
      </c>
      <c r="G5" s="20">
        <f>凯利公式!Y38</f>
        <v>0</v>
      </c>
      <c r="I5" s="50">
        <f>凯利公式!A18</f>
        <v>3.2</v>
      </c>
      <c r="J5" s="33">
        <f>凯利公式!AF18</f>
        <v>1</v>
      </c>
      <c r="K5" s="48">
        <f>凯利公式!AG18</f>
        <v>35000</v>
      </c>
    </row>
    <row r="6" spans="1:11" x14ac:dyDescent="0.4">
      <c r="A6" s="50">
        <f>凯利公式!A39</f>
        <v>2.78</v>
      </c>
      <c r="B6" s="32">
        <f>凯利公式!H39</f>
        <v>0</v>
      </c>
      <c r="C6" s="33">
        <f>凯利公式!J39</f>
        <v>0</v>
      </c>
      <c r="D6" s="24">
        <f>凯利公式!M39</f>
        <v>0</v>
      </c>
      <c r="E6" s="22">
        <f>凯利公式!O39</f>
        <v>0</v>
      </c>
      <c r="F6" s="16">
        <f>凯利公式!W39</f>
        <v>0</v>
      </c>
      <c r="G6" s="20">
        <f>凯利公式!Y39</f>
        <v>0</v>
      </c>
      <c r="I6" s="50">
        <f>凯利公式!A19</f>
        <v>3.18</v>
      </c>
      <c r="J6" s="33">
        <f>凯利公式!AF19</f>
        <v>1</v>
      </c>
      <c r="K6" s="48">
        <f>凯利公式!AG19</f>
        <v>35000</v>
      </c>
    </row>
    <row r="7" spans="1:11" x14ac:dyDescent="0.4">
      <c r="A7" s="50">
        <f>凯利公式!A40</f>
        <v>2.76</v>
      </c>
      <c r="B7" s="32">
        <f>凯利公式!H40</f>
        <v>1700</v>
      </c>
      <c r="C7" s="33">
        <f>凯利公式!J40</f>
        <v>3.8728577549272097E-3</v>
      </c>
      <c r="D7" s="24">
        <f>凯利公式!M40</f>
        <v>1300</v>
      </c>
      <c r="E7" s="22">
        <f>凯利公式!O40</f>
        <v>2.9046433161954077E-3</v>
      </c>
      <c r="F7" s="16">
        <f>凯利公式!W40</f>
        <v>900</v>
      </c>
      <c r="G7" s="20">
        <f>凯利公式!Y40</f>
        <v>1.9364288774636048E-3</v>
      </c>
      <c r="I7" s="50">
        <f>凯利公式!A20</f>
        <v>3.16</v>
      </c>
      <c r="J7" s="33">
        <f>凯利公式!AF20</f>
        <v>1</v>
      </c>
      <c r="K7" s="48">
        <f>凯利公式!AG20</f>
        <v>35000</v>
      </c>
    </row>
    <row r="8" spans="1:11" x14ac:dyDescent="0.4">
      <c r="A8" s="50">
        <f>凯利公式!A41</f>
        <v>2.74</v>
      </c>
      <c r="B8" s="32">
        <f>凯利公式!H41</f>
        <v>3600</v>
      </c>
      <c r="C8" s="33">
        <f>凯利公式!J41</f>
        <v>7.6336756911105658E-3</v>
      </c>
      <c r="D8" s="24">
        <f>凯利公式!M41</f>
        <v>2700</v>
      </c>
      <c r="E8" s="22">
        <f>凯利公式!O41</f>
        <v>5.7252567683329257E-3</v>
      </c>
      <c r="F8" s="16">
        <f>凯利公式!W41</f>
        <v>1800</v>
      </c>
      <c r="G8" s="20">
        <f>凯利公式!Y41</f>
        <v>3.8168378455552829E-3</v>
      </c>
      <c r="I8" s="50">
        <f>凯利公式!A21</f>
        <v>3.14</v>
      </c>
      <c r="J8" s="33">
        <f>凯利公式!AF21</f>
        <v>0.75</v>
      </c>
      <c r="K8" s="48">
        <f>凯利公式!AG21</f>
        <v>26200</v>
      </c>
    </row>
    <row r="9" spans="1:11" x14ac:dyDescent="0.4">
      <c r="A9" s="50">
        <f>凯利公式!A42</f>
        <v>2.72</v>
      </c>
      <c r="B9" s="32">
        <f>凯利公式!H42</f>
        <v>5400</v>
      </c>
      <c r="C9" s="33">
        <f>凯利公式!J42</f>
        <v>1.0722143665158348E-2</v>
      </c>
      <c r="D9" s="24">
        <f>凯利公式!M42</f>
        <v>4000</v>
      </c>
      <c r="E9" s="22">
        <f>凯利公式!O42</f>
        <v>8.0416077488687614E-3</v>
      </c>
      <c r="F9" s="16">
        <f>凯利公式!W42</f>
        <v>2700</v>
      </c>
      <c r="G9" s="20">
        <f>凯利公式!Y42</f>
        <v>5.3610718325791742E-3</v>
      </c>
      <c r="I9" s="50">
        <f>凯利公式!A22</f>
        <v>3.12</v>
      </c>
      <c r="J9" s="33">
        <f>凯利公式!AF22</f>
        <v>0.75</v>
      </c>
      <c r="K9" s="48">
        <f>凯利公式!AG22</f>
        <v>26200</v>
      </c>
    </row>
    <row r="10" spans="1:11" x14ac:dyDescent="0.4">
      <c r="A10" s="50">
        <f>凯利公式!A43</f>
        <v>2.7</v>
      </c>
      <c r="B10" s="32">
        <f>凯利公式!H43</f>
        <v>7000</v>
      </c>
      <c r="C10" s="33">
        <f>凯利公式!J43</f>
        <v>1.3221277736533846E-2</v>
      </c>
      <c r="D10" s="24">
        <f>凯利公式!M43</f>
        <v>5200</v>
      </c>
      <c r="E10" s="22">
        <f>凯利公式!O43</f>
        <v>9.915958302400385E-3</v>
      </c>
      <c r="F10" s="16">
        <f>凯利公式!W43</f>
        <v>3500</v>
      </c>
      <c r="G10" s="20">
        <f>凯利公式!Y43</f>
        <v>6.610638868266923E-3</v>
      </c>
      <c r="I10" s="50">
        <f>凯利公式!A23</f>
        <v>3.1</v>
      </c>
      <c r="J10" s="33">
        <f>凯利公式!AF23</f>
        <v>0.75</v>
      </c>
      <c r="K10" s="48">
        <f>凯利公式!AG23</f>
        <v>26200</v>
      </c>
    </row>
    <row r="11" spans="1:11" x14ac:dyDescent="0.4">
      <c r="A11" s="50">
        <f>凯利公式!A44</f>
        <v>2.68</v>
      </c>
      <c r="B11" s="32">
        <f>凯利公式!H44</f>
        <v>8500</v>
      </c>
      <c r="C11" s="33">
        <f>凯利公式!J44</f>
        <v>1.5199738249053232E-2</v>
      </c>
      <c r="D11" s="24">
        <f>凯利公式!M44</f>
        <v>6400</v>
      </c>
      <c r="E11" s="22">
        <f>凯利公式!O44</f>
        <v>1.1399803686789925E-2</v>
      </c>
      <c r="F11" s="16">
        <f>凯利公式!W44</f>
        <v>4200</v>
      </c>
      <c r="G11" s="20">
        <f>凯利公式!Y44</f>
        <v>7.599869124526616E-3</v>
      </c>
      <c r="I11" s="50">
        <f>凯利公式!A24</f>
        <v>3.08</v>
      </c>
      <c r="J11" s="33">
        <f>凯利公式!AF24</f>
        <v>0.75</v>
      </c>
      <c r="K11" s="48">
        <f>凯利公式!AG24</f>
        <v>26200</v>
      </c>
    </row>
    <row r="12" spans="1:11" x14ac:dyDescent="0.4">
      <c r="A12" s="50">
        <f>凯利公式!A45</f>
        <v>2.66</v>
      </c>
      <c r="B12" s="32">
        <f>凯利公式!H45</f>
        <v>9900</v>
      </c>
      <c r="C12" s="33">
        <f>凯利公式!J45</f>
        <v>1.6714758522072048E-2</v>
      </c>
      <c r="D12" s="24">
        <f>凯利公式!M45</f>
        <v>7400</v>
      </c>
      <c r="E12" s="22">
        <f>凯利公式!O45</f>
        <v>1.2536068891554035E-2</v>
      </c>
      <c r="F12" s="16">
        <f>凯利公式!W45</f>
        <v>4900</v>
      </c>
      <c r="G12" s="20">
        <f>凯利公式!Y45</f>
        <v>8.3573792610360242E-3</v>
      </c>
      <c r="I12" s="50">
        <f>凯利公式!A25</f>
        <v>3.06</v>
      </c>
      <c r="J12" s="33">
        <f>凯利公式!AF25</f>
        <v>0.75</v>
      </c>
      <c r="K12" s="48">
        <f>凯利公式!AG25</f>
        <v>26200</v>
      </c>
    </row>
    <row r="13" spans="1:11" x14ac:dyDescent="0.4">
      <c r="A13" s="50">
        <f>凯利公式!A46</f>
        <v>2.64</v>
      </c>
      <c r="B13" s="32">
        <f>凯利公式!H46</f>
        <v>11200</v>
      </c>
      <c r="C13" s="33">
        <f>凯利公式!J46</f>
        <v>1.7814382776686313E-2</v>
      </c>
      <c r="D13" s="24">
        <f>凯利公式!M46</f>
        <v>8400</v>
      </c>
      <c r="E13" s="22">
        <f>凯利公式!O46</f>
        <v>1.3360787082514732E-2</v>
      </c>
      <c r="F13" s="16">
        <f>凯利公式!W46</f>
        <v>5600</v>
      </c>
      <c r="G13" s="20">
        <f>凯利公式!Y46</f>
        <v>8.9071913883431563E-3</v>
      </c>
      <c r="I13" s="50">
        <f>凯利公式!A26</f>
        <v>3.04</v>
      </c>
      <c r="J13" s="33">
        <f>凯利公式!AF26</f>
        <v>0.75</v>
      </c>
      <c r="K13" s="48">
        <f>凯利公式!AG26</f>
        <v>26200</v>
      </c>
    </row>
    <row r="14" spans="1:11" x14ac:dyDescent="0.4">
      <c r="A14" s="50">
        <f>凯利公式!A47</f>
        <v>2.62</v>
      </c>
      <c r="B14" s="32">
        <f>凯利公式!H47</f>
        <v>12500</v>
      </c>
      <c r="C14" s="33">
        <f>凯利公式!J47</f>
        <v>1.8539196092295707E-2</v>
      </c>
      <c r="D14" s="24">
        <f>凯利公式!M47</f>
        <v>9300</v>
      </c>
      <c r="E14" s="22">
        <f>凯利公式!O47</f>
        <v>1.390439706922178E-2</v>
      </c>
      <c r="F14" s="16">
        <f>凯利公式!W47</f>
        <v>6200</v>
      </c>
      <c r="G14" s="20">
        <f>凯利公式!Y47</f>
        <v>9.2695980461478533E-3</v>
      </c>
      <c r="I14" s="50">
        <f>凯利公式!A27</f>
        <v>3.02</v>
      </c>
      <c r="J14" s="33">
        <f>凯利公式!AF27</f>
        <v>0.75</v>
      </c>
      <c r="K14" s="48">
        <f>凯利公式!AG27</f>
        <v>26200</v>
      </c>
    </row>
    <row r="15" spans="1:11" x14ac:dyDescent="0.4">
      <c r="A15" s="50">
        <f>凯利公式!A48</f>
        <v>2.6</v>
      </c>
      <c r="B15" s="32">
        <f>凯利公式!H48</f>
        <v>13600</v>
      </c>
      <c r="C15" s="33">
        <f>凯利公式!J48</f>
        <v>1.8923675914249691E-2</v>
      </c>
      <c r="D15" s="24">
        <f>凯利公式!M48</f>
        <v>10200</v>
      </c>
      <c r="E15" s="22">
        <f>凯利公式!O48</f>
        <v>1.4192756935687268E-2</v>
      </c>
      <c r="F15" s="16">
        <f>凯利公式!W48</f>
        <v>6800</v>
      </c>
      <c r="G15" s="20">
        <f>凯利公式!Y48</f>
        <v>9.4618379571248454E-3</v>
      </c>
      <c r="I15" s="50">
        <f>凯利公式!A28</f>
        <v>3</v>
      </c>
      <c r="J15" s="33">
        <f>凯利公式!AF28</f>
        <v>0.72388478581979321</v>
      </c>
      <c r="K15" s="48">
        <f>凯利公式!AG28</f>
        <v>25300</v>
      </c>
    </row>
    <row r="16" spans="1:11" x14ac:dyDescent="0.4">
      <c r="A16" s="50">
        <f>凯利公式!A49</f>
        <v>2.58</v>
      </c>
      <c r="B16" s="32">
        <f>凯利公式!H49</f>
        <v>14800</v>
      </c>
      <c r="C16" s="33">
        <f>凯利公式!J49</f>
        <v>1.8997258211740989E-2</v>
      </c>
      <c r="D16" s="24">
        <f>凯利公式!M49</f>
        <v>11100</v>
      </c>
      <c r="E16" s="22">
        <f>凯利公式!O49</f>
        <v>1.4247943658805742E-2</v>
      </c>
      <c r="F16" s="16">
        <f>凯利公式!W49</f>
        <v>7400</v>
      </c>
      <c r="G16" s="20">
        <f>凯利公式!Y49</f>
        <v>9.4986291058704944E-3</v>
      </c>
      <c r="I16" s="50">
        <f>凯利公式!A29</f>
        <v>2.98</v>
      </c>
      <c r="J16" s="33">
        <f>凯利公式!AF29</f>
        <v>0.67560121765601211</v>
      </c>
      <c r="K16" s="48">
        <f>凯利公式!AG29</f>
        <v>23600</v>
      </c>
    </row>
    <row r="17" spans="1:11" x14ac:dyDescent="0.4">
      <c r="A17" s="50">
        <f>凯利公式!A50</f>
        <v>2.56</v>
      </c>
      <c r="B17" s="32">
        <f>凯利公式!H50</f>
        <v>15800</v>
      </c>
      <c r="C17" s="33">
        <f>凯利公式!J50</f>
        <v>1.8785186094015287E-2</v>
      </c>
      <c r="D17" s="24">
        <f>凯利公式!M50</f>
        <v>11900</v>
      </c>
      <c r="E17" s="22">
        <f>凯利公式!O50</f>
        <v>1.4088889570511465E-2</v>
      </c>
      <c r="F17" s="16">
        <f>凯利公式!W50</f>
        <v>7900</v>
      </c>
      <c r="G17" s="20">
        <f>凯利公式!Y50</f>
        <v>9.3925930470076437E-3</v>
      </c>
      <c r="I17" s="50">
        <f>凯利公式!A30</f>
        <v>2.96</v>
      </c>
      <c r="J17" s="33">
        <f>凯利公式!AF30</f>
        <v>0.62428571428571422</v>
      </c>
      <c r="K17" s="48">
        <f>凯利公式!AG30</f>
        <v>21800</v>
      </c>
    </row>
    <row r="18" spans="1:11" x14ac:dyDescent="0.4">
      <c r="A18" s="50">
        <f>凯利公式!A51</f>
        <v>2.54</v>
      </c>
      <c r="B18" s="32">
        <f>凯利公式!H51</f>
        <v>16800</v>
      </c>
      <c r="C18" s="33">
        <f>凯利公式!J51</f>
        <v>1.8309190877002446E-2</v>
      </c>
      <c r="D18" s="24">
        <f>凯利公式!M51</f>
        <v>12600</v>
      </c>
      <c r="E18" s="22">
        <f>凯利公式!O51</f>
        <v>1.3731893157751836E-2</v>
      </c>
      <c r="F18" s="16">
        <f>凯利公式!W51</f>
        <v>8400</v>
      </c>
      <c r="G18" s="20">
        <f>凯利公式!Y51</f>
        <v>9.1545954385012229E-3</v>
      </c>
      <c r="I18" s="50">
        <f>凯利公式!A31</f>
        <v>2.94</v>
      </c>
      <c r="J18" s="33">
        <f>凯利公式!AF31</f>
        <v>0.56964343598055089</v>
      </c>
      <c r="K18" s="48">
        <f>凯利公式!AG31</f>
        <v>19900</v>
      </c>
    </row>
    <row r="19" spans="1:11" x14ac:dyDescent="0.4">
      <c r="A19" s="50">
        <f>凯利公式!A52</f>
        <v>2.52</v>
      </c>
      <c r="B19" s="32">
        <f>凯利公式!H52</f>
        <v>17800</v>
      </c>
      <c r="C19" s="33">
        <f>凯利公式!J52</f>
        <v>1.7588042874807586E-2</v>
      </c>
      <c r="D19" s="24">
        <f>凯利公式!M52</f>
        <v>13400</v>
      </c>
      <c r="E19" s="22">
        <f>凯利公式!O52</f>
        <v>1.3191032156105691E-2</v>
      </c>
      <c r="F19" s="16">
        <f>凯利公式!W52</f>
        <v>8900</v>
      </c>
      <c r="G19" s="20">
        <f>凯利公式!Y52</f>
        <v>8.7940214374037928E-3</v>
      </c>
      <c r="I19" s="50">
        <f>凯利公式!A32</f>
        <v>2.92</v>
      </c>
      <c r="J19" s="33">
        <f>凯利公式!AF32</f>
        <v>0.51134003350083723</v>
      </c>
      <c r="K19" s="48">
        <f>凯利公式!AG32</f>
        <v>17900</v>
      </c>
    </row>
    <row r="20" spans="1:11" x14ac:dyDescent="0.4">
      <c r="A20" s="50">
        <f>凯利公式!A53</f>
        <v>2.5</v>
      </c>
      <c r="B20" s="32">
        <f>凯利公式!H53</f>
        <v>18800</v>
      </c>
      <c r="C20" s="33">
        <f>凯利公式!J53</f>
        <v>1.6638000000000003E-2</v>
      </c>
      <c r="D20" s="24">
        <f>凯利公式!M53</f>
        <v>14100</v>
      </c>
      <c r="E20" s="22">
        <f>凯利公式!O53</f>
        <v>1.2478500000000003E-2</v>
      </c>
      <c r="F20" s="16">
        <f>凯利公式!W53</f>
        <v>9400</v>
      </c>
      <c r="G20" s="20">
        <f>凯利公式!Y53</f>
        <v>8.3190000000000017E-3</v>
      </c>
      <c r="I20" s="50">
        <f>凯利公式!A33</f>
        <v>2.9</v>
      </c>
      <c r="J20" s="33">
        <f>凯利公式!AF33</f>
        <v>0.4489948006932406</v>
      </c>
      <c r="K20" s="48">
        <f>凯利公式!AG33</f>
        <v>15700</v>
      </c>
    </row>
    <row r="21" spans="1:11" x14ac:dyDescent="0.4">
      <c r="A21" s="50">
        <f>凯利公式!A54</f>
        <v>2.48</v>
      </c>
      <c r="B21" s="32">
        <f>凯利公式!H54</f>
        <v>19700</v>
      </c>
      <c r="C21" s="33">
        <f>凯利公式!J54</f>
        <v>1.5473175538839872E-2</v>
      </c>
      <c r="D21" s="24">
        <f>凯利公式!M54</f>
        <v>14800</v>
      </c>
      <c r="E21" s="22">
        <f>凯利公式!O54</f>
        <v>1.1604881654129904E-2</v>
      </c>
      <c r="F21" s="16">
        <f>凯利公式!W54</f>
        <v>9800</v>
      </c>
      <c r="G21" s="20">
        <f>凯利公式!Y54</f>
        <v>7.7365877694199362E-3</v>
      </c>
      <c r="I21" s="50">
        <f>凯利公式!A34</f>
        <v>2.88</v>
      </c>
      <c r="J21" s="33">
        <f>凯利公式!AF34</f>
        <v>0.38217235188509835</v>
      </c>
      <c r="K21" s="48">
        <f>凯利公式!AG34</f>
        <v>13300</v>
      </c>
    </row>
    <row r="22" spans="1:11" x14ac:dyDescent="0.4">
      <c r="A22" s="50">
        <f>凯利公式!A55</f>
        <v>2.46</v>
      </c>
      <c r="B22" s="32">
        <f>凯利公式!H55</f>
        <v>20600</v>
      </c>
      <c r="C22" s="33">
        <f>凯利公式!J55</f>
        <v>1.4105841504714035E-2</v>
      </c>
      <c r="D22" s="24">
        <f>凯利公式!M55</f>
        <v>15400</v>
      </c>
      <c r="E22" s="22">
        <f>凯利公式!O55</f>
        <v>1.0579381128535527E-2</v>
      </c>
      <c r="F22" s="16">
        <f>凯利公式!W55</f>
        <v>10300</v>
      </c>
      <c r="G22" s="20">
        <f>凯利公式!Y55</f>
        <v>7.0529207523570177E-3</v>
      </c>
      <c r="I22" s="50">
        <f>凯利公式!A35</f>
        <v>2.86</v>
      </c>
      <c r="J22" s="33">
        <f>凯利公式!AF35</f>
        <v>0.31037243947858417</v>
      </c>
      <c r="K22" s="48">
        <f>凯利公式!AG35</f>
        <v>10800</v>
      </c>
    </row>
    <row r="23" spans="1:11" x14ac:dyDescent="0.4">
      <c r="A23" s="50">
        <f>凯利公式!A56</f>
        <v>2.44</v>
      </c>
      <c r="B23" s="32">
        <f>凯利公式!H56</f>
        <v>21400</v>
      </c>
      <c r="C23" s="33">
        <f>凯利公式!J56</f>
        <v>1.2546680270064049E-2</v>
      </c>
      <c r="D23" s="24">
        <f>凯利公式!M56</f>
        <v>16100</v>
      </c>
      <c r="E23" s="22">
        <f>凯利公式!O56</f>
        <v>9.4100102025480355E-3</v>
      </c>
      <c r="F23" s="16">
        <f>凯利公式!W56</f>
        <v>10700</v>
      </c>
      <c r="G23" s="20">
        <f>凯利公式!Y56</f>
        <v>6.2733401350320243E-3</v>
      </c>
      <c r="I23" s="50">
        <f>凯利公式!A36</f>
        <v>2.84</v>
      </c>
      <c r="J23" s="33">
        <f>凯利公式!AF36</f>
        <v>0.23301740812379035</v>
      </c>
      <c r="K23" s="48">
        <f>凯利公式!AG36</f>
        <v>8100</v>
      </c>
    </row>
    <row r="24" spans="1:11" x14ac:dyDescent="0.4">
      <c r="A24" s="50">
        <f>凯利公式!A57</f>
        <v>2.42</v>
      </c>
      <c r="B24" s="32">
        <f>凯利公式!H57</f>
        <v>22200</v>
      </c>
      <c r="C24" s="33">
        <f>凯利公式!J57</f>
        <v>1.0804994388327719E-2</v>
      </c>
      <c r="D24" s="24">
        <f>凯利公式!M57</f>
        <v>16700</v>
      </c>
      <c r="E24" s="22">
        <f>凯利公式!O57</f>
        <v>8.1037457912457884E-3</v>
      </c>
      <c r="F24" s="16">
        <f>凯利公式!W57</f>
        <v>11100</v>
      </c>
      <c r="G24" s="20">
        <f>凯利公式!Y57</f>
        <v>5.4024971941638595E-3</v>
      </c>
      <c r="I24" s="50">
        <f>凯利公式!A37</f>
        <v>2.82</v>
      </c>
      <c r="J24" s="33">
        <f>凯利公式!AF37</f>
        <v>0.14943661971830913</v>
      </c>
      <c r="K24" s="48">
        <f>凯利公式!AG37</f>
        <v>5200</v>
      </c>
    </row>
    <row r="25" spans="1:11" x14ac:dyDescent="0.4">
      <c r="A25" s="50">
        <f>凯利公式!A58</f>
        <v>2.4</v>
      </c>
      <c r="B25" s="32">
        <f>凯利公式!H58</f>
        <v>23100</v>
      </c>
      <c r="C25" s="33">
        <f>凯利公式!J58</f>
        <v>8.88888239875389E-3</v>
      </c>
      <c r="D25" s="24">
        <f>凯利公式!M58</f>
        <v>17300</v>
      </c>
      <c r="E25" s="22">
        <f>凯利公式!O58</f>
        <v>6.6666617990654171E-3</v>
      </c>
      <c r="F25" s="16">
        <f>凯利公式!W58</f>
        <v>11500</v>
      </c>
      <c r="G25" s="20">
        <f>凯利公式!Y58</f>
        <v>4.444441199376945E-3</v>
      </c>
      <c r="I25" s="50">
        <f>凯利公式!A38</f>
        <v>2.8</v>
      </c>
      <c r="J25" s="33">
        <f>凯利公式!AF38</f>
        <v>0</v>
      </c>
      <c r="K25" s="48">
        <f>凯利公式!AG38</f>
        <v>0</v>
      </c>
    </row>
    <row r="26" spans="1:11" x14ac:dyDescent="0.4">
      <c r="A26" s="50">
        <f>凯利公式!A59</f>
        <v>2.38</v>
      </c>
      <c r="B26" s="32">
        <f>凯利公式!H59</f>
        <v>23800</v>
      </c>
      <c r="C26" s="33">
        <f>凯利公式!J59</f>
        <v>6.8053867841024523E-3</v>
      </c>
      <c r="D26" s="24">
        <f>凯利公式!M59</f>
        <v>17900</v>
      </c>
      <c r="E26" s="22">
        <f>凯利公式!O59</f>
        <v>5.1040400880768399E-3</v>
      </c>
      <c r="F26" s="16">
        <f>凯利公式!W59</f>
        <v>11900</v>
      </c>
      <c r="G26" s="20">
        <f>凯利公式!Y59</f>
        <v>3.4026933920512262E-3</v>
      </c>
      <c r="I26" s="50">
        <f>凯利公式!A39</f>
        <v>2.78</v>
      </c>
      <c r="J26" s="33">
        <f>凯利公式!AF39</f>
        <v>0</v>
      </c>
      <c r="K26" s="48">
        <f>凯利公式!AG39</f>
        <v>0</v>
      </c>
    </row>
    <row r="27" spans="1:11" x14ac:dyDescent="0.4">
      <c r="A27" s="50">
        <f>凯利公式!A60</f>
        <v>2.36</v>
      </c>
      <c r="B27" s="32">
        <f>凯利公式!H60</f>
        <v>24600</v>
      </c>
      <c r="C27" s="33">
        <f>凯利公式!J60</f>
        <v>4.5606189985177457E-3</v>
      </c>
      <c r="D27" s="24">
        <f>凯利公式!M60</f>
        <v>18500</v>
      </c>
      <c r="E27" s="22">
        <f>凯利公式!O60</f>
        <v>3.4204642488883099E-3</v>
      </c>
      <c r="F27" s="16">
        <f>凯利公式!W60</f>
        <v>12300</v>
      </c>
      <c r="G27" s="20">
        <f>凯利公式!Y60</f>
        <v>2.2803094992588729E-3</v>
      </c>
      <c r="I27" s="50">
        <f>凯利公式!A40</f>
        <v>2.76</v>
      </c>
      <c r="J27" s="33">
        <f>凯利公式!AF40</f>
        <v>0</v>
      </c>
      <c r="K27" s="48">
        <f>凯利公式!AG40</f>
        <v>0</v>
      </c>
    </row>
    <row r="28" spans="1:11" x14ac:dyDescent="0.4">
      <c r="A28" s="50">
        <f>凯利公式!A61</f>
        <v>2.34</v>
      </c>
      <c r="B28" s="32">
        <f>凯利公式!H61</f>
        <v>25400</v>
      </c>
      <c r="C28" s="33">
        <f>凯利公式!J61</f>
        <v>2.1598655087530123E-3</v>
      </c>
      <c r="D28" s="24">
        <f>凯利公式!M61</f>
        <v>19000</v>
      </c>
      <c r="E28" s="22">
        <f>凯利公式!O61</f>
        <v>1.6198991315647595E-3</v>
      </c>
      <c r="F28" s="16">
        <f>凯利公式!W61</f>
        <v>12700</v>
      </c>
      <c r="G28" s="20">
        <f>凯利公式!Y61</f>
        <v>1.0799327543765062E-3</v>
      </c>
      <c r="I28" s="50">
        <f>凯利公式!A41</f>
        <v>2.74</v>
      </c>
      <c r="J28" s="33">
        <f>凯利公式!AF41</f>
        <v>0</v>
      </c>
      <c r="K28" s="48">
        <f>凯利公式!AG41</f>
        <v>0</v>
      </c>
    </row>
    <row r="29" spans="1:11" x14ac:dyDescent="0.4">
      <c r="A29" s="50">
        <f>凯利公式!A62</f>
        <v>2.3199999999999998</v>
      </c>
      <c r="B29" s="32">
        <f>凯利公式!H62</f>
        <v>26100</v>
      </c>
      <c r="C29" s="33">
        <f>凯利公式!J62</f>
        <v>-3.9232197079989837E-4</v>
      </c>
      <c r="D29" s="24">
        <f>凯利公式!M62</f>
        <v>19600</v>
      </c>
      <c r="E29" s="22">
        <f>凯利公式!O62</f>
        <v>-2.9424147809992379E-4</v>
      </c>
      <c r="F29" s="16">
        <f>凯利公式!W62</f>
        <v>13000</v>
      </c>
      <c r="G29" s="20">
        <f>凯利公式!Y62</f>
        <v>-1.9616098539994918E-4</v>
      </c>
      <c r="I29" s="50">
        <f>凯利公式!A42</f>
        <v>2.72</v>
      </c>
      <c r="J29" s="33">
        <f>凯利公式!AF42</f>
        <v>0</v>
      </c>
      <c r="K29" s="48">
        <f>凯利公式!AG42</f>
        <v>0</v>
      </c>
    </row>
    <row r="30" spans="1:11" x14ac:dyDescent="0.4">
      <c r="A30" s="50">
        <f>凯利公式!A63</f>
        <v>2.2999999999999998</v>
      </c>
      <c r="B30" s="32">
        <f>凯利公式!H63</f>
        <v>26900</v>
      </c>
      <c r="C30" s="33">
        <f>凯利公式!J63</f>
        <v>-3.0920494699646825E-3</v>
      </c>
      <c r="D30" s="24">
        <f>凯利公式!M63</f>
        <v>20100</v>
      </c>
      <c r="E30" s="22">
        <f>凯利公式!O63</f>
        <v>-2.3190371024735118E-3</v>
      </c>
      <c r="F30" s="16">
        <f>凯利公式!W63</f>
        <v>13400</v>
      </c>
      <c r="G30" s="20">
        <f>凯利公式!Y63</f>
        <v>-1.5460247349823413E-3</v>
      </c>
      <c r="I30" s="50">
        <f>凯利公式!A43</f>
        <v>2.7</v>
      </c>
      <c r="J30" s="33">
        <f>凯利公式!AF43</f>
        <v>0</v>
      </c>
      <c r="K30" s="48">
        <f>凯利公式!AG43</f>
        <v>0</v>
      </c>
    </row>
    <row r="32" spans="1:11" x14ac:dyDescent="0.4">
      <c r="A32" s="18" t="str">
        <f>凯利公式!A65</f>
        <v>每笔交易后，需更新可用资金，然后重新计算</v>
      </c>
    </row>
    <row r="33" spans="1:1" x14ac:dyDescent="0.4">
      <c r="A33" s="18" t="str">
        <f>凯利公式!A66</f>
        <v>止损规则：跌破最低位-2%，则立刻止损离场，可确保每笔交易亏损不超过总资金的5%</v>
      </c>
    </row>
  </sheetData>
  <mergeCells count="4">
    <mergeCell ref="B3:C3"/>
    <mergeCell ref="D3:E3"/>
    <mergeCell ref="F3:G3"/>
    <mergeCell ref="J3:K3"/>
  </mergeCells>
  <phoneticPr fontId="1" type="noConversion"/>
  <conditionalFormatting sqref="C5:C30 E5:E30 G5:G30">
    <cfRule type="cellIs" dxfId="3" priority="2" operator="greaterThanOrEqual">
      <formula>0.03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C3AA-3A5D-47AF-BD15-D8A066033C97}">
  <dimension ref="A1:AG66"/>
  <sheetViews>
    <sheetView workbookViewId="0">
      <selection activeCell="A18" sqref="A18"/>
    </sheetView>
  </sheetViews>
  <sheetFormatPr defaultColWidth="31.46484375" defaultRowHeight="13.9" x14ac:dyDescent="0.4"/>
  <cols>
    <col min="1" max="2" width="10.06640625" bestFit="1" customWidth="1"/>
    <col min="3" max="4" width="8.265625" bestFit="1" customWidth="1"/>
    <col min="5" max="5" width="15.796875" customWidth="1"/>
    <col min="6" max="6" width="8.53125" customWidth="1"/>
    <col min="7" max="7" width="9.3984375" customWidth="1"/>
    <col min="8" max="8" width="10" bestFit="1" customWidth="1"/>
    <col min="9" max="9" width="9.33203125" bestFit="1" customWidth="1"/>
    <col min="10" max="10" width="12" customWidth="1"/>
    <col min="11" max="11" width="8.9296875" bestFit="1" customWidth="1"/>
    <col min="12" max="12" width="9.33203125" bestFit="1" customWidth="1"/>
    <col min="13" max="13" width="9" bestFit="1" customWidth="1"/>
    <col min="14" max="14" width="8.265625" customWidth="1"/>
    <col min="15" max="15" width="12" customWidth="1"/>
    <col min="16" max="16" width="8.796875" customWidth="1"/>
    <col min="17" max="17" width="9.33203125" bestFit="1" customWidth="1"/>
    <col min="18" max="18" width="9" bestFit="1" customWidth="1"/>
    <col min="19" max="19" width="8.265625" customWidth="1"/>
    <col min="20" max="20" width="12" customWidth="1"/>
    <col min="21" max="21" width="8.9296875" bestFit="1" customWidth="1"/>
    <col min="22" max="22" width="9.33203125" bestFit="1" customWidth="1"/>
    <col min="23" max="23" width="9" bestFit="1" customWidth="1"/>
    <col min="24" max="24" width="8.265625" customWidth="1"/>
    <col min="25" max="25" width="12" customWidth="1"/>
    <col min="26" max="26" width="8.796875" customWidth="1"/>
    <col min="27" max="27" width="9.33203125" bestFit="1" customWidth="1"/>
    <col min="28" max="28" width="9" bestFit="1" customWidth="1"/>
    <col min="29" max="29" width="8.265625" customWidth="1"/>
    <col min="30" max="30" width="12" customWidth="1"/>
    <col min="31" max="31" width="8.9296875" bestFit="1" customWidth="1"/>
    <col min="32" max="32" width="8.265625" bestFit="1" customWidth="1"/>
    <col min="33" max="33" width="6.3984375" bestFit="1" customWidth="1"/>
  </cols>
  <sheetData>
    <row r="1" spans="1:33" x14ac:dyDescent="0.4">
      <c r="A1" s="6" t="s">
        <v>1</v>
      </c>
      <c r="B1" s="6" t="s">
        <v>2</v>
      </c>
      <c r="C1" s="6" t="s">
        <v>3</v>
      </c>
      <c r="D1" s="6" t="s">
        <v>10</v>
      </c>
      <c r="E1" s="7" t="s">
        <v>4</v>
      </c>
      <c r="F1" s="6" t="s">
        <v>37</v>
      </c>
      <c r="G1" s="3" t="s">
        <v>27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33" x14ac:dyDescent="0.4">
      <c r="A2" s="8">
        <v>3.149</v>
      </c>
      <c r="B2" s="8">
        <v>2.323</v>
      </c>
      <c r="C2" s="9">
        <v>200000</v>
      </c>
      <c r="D2" s="10">
        <v>110000</v>
      </c>
      <c r="E2" s="11">
        <v>0.55000000000000004</v>
      </c>
      <c r="F2" s="19">
        <v>35000</v>
      </c>
      <c r="G2" s="3" t="s">
        <v>14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33" x14ac:dyDescent="0.4">
      <c r="A3" s="3"/>
      <c r="B3" s="3"/>
      <c r="C3" s="3"/>
      <c r="D3" s="3"/>
      <c r="E3" s="3"/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33" x14ac:dyDescent="0.4">
      <c r="A4" s="18" t="s">
        <v>38</v>
      </c>
      <c r="E4" s="3"/>
      <c r="F4" s="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33" x14ac:dyDescent="0.4">
      <c r="A5" s="44"/>
      <c r="B5" s="44" t="s">
        <v>41</v>
      </c>
      <c r="C5" s="44" t="s">
        <v>40</v>
      </c>
      <c r="E5" s="3"/>
      <c r="F5" s="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33" x14ac:dyDescent="0.4">
      <c r="A6" s="44" t="s">
        <v>39</v>
      </c>
      <c r="B6" s="45">
        <v>0.7</v>
      </c>
      <c r="C6" s="45">
        <v>0.2</v>
      </c>
      <c r="E6" s="3"/>
      <c r="F6" s="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33" x14ac:dyDescent="0.4">
      <c r="A7" s="44" t="s">
        <v>42</v>
      </c>
      <c r="B7" s="46">
        <v>0.1</v>
      </c>
      <c r="C7" s="46">
        <v>0.75</v>
      </c>
      <c r="E7" s="3"/>
      <c r="F7" s="3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33" x14ac:dyDescent="0.4">
      <c r="A8" s="18" t="s">
        <v>47</v>
      </c>
      <c r="E8" s="3"/>
      <c r="F8" s="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33" x14ac:dyDescent="0.4">
      <c r="A9" s="18" t="s">
        <v>48</v>
      </c>
      <c r="E9" s="3"/>
      <c r="F9" s="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33" x14ac:dyDescent="0.4">
      <c r="A10" s="18" t="s">
        <v>49</v>
      </c>
      <c r="E10" s="3"/>
      <c r="F10" s="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33" x14ac:dyDescent="0.4">
      <c r="A11" s="18" t="s">
        <v>50</v>
      </c>
      <c r="E11" s="3"/>
      <c r="F11" s="3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33" x14ac:dyDescent="0.4">
      <c r="A12" s="18" t="s">
        <v>46</v>
      </c>
      <c r="E12" s="3"/>
      <c r="F12" s="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33" x14ac:dyDescent="0.4">
      <c r="A13" s="18"/>
      <c r="E13" s="3"/>
      <c r="F13" s="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33" ht="15.4" x14ac:dyDescent="0.55000000000000004">
      <c r="A14" s="3"/>
      <c r="B14" s="3"/>
      <c r="C14" s="3"/>
      <c r="D14" s="3"/>
      <c r="E14" s="3"/>
      <c r="F14" s="3" t="s">
        <v>26</v>
      </c>
      <c r="G14" s="5"/>
      <c r="H14" s="3" t="s">
        <v>17</v>
      </c>
      <c r="I14" s="5"/>
      <c r="J14" s="4" t="s">
        <v>28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5"/>
      <c r="W14" s="5"/>
      <c r="X14" s="5"/>
      <c r="Y14" s="5"/>
    </row>
    <row r="15" spans="1:33" ht="15.4" x14ac:dyDescent="0.55000000000000004">
      <c r="A15" s="3"/>
      <c r="B15" s="3"/>
      <c r="C15" s="3"/>
      <c r="D15" s="3"/>
      <c r="E15" s="3"/>
      <c r="F15" s="3"/>
      <c r="G15" s="5"/>
      <c r="H15" s="3"/>
      <c r="I15" s="5"/>
      <c r="J15" s="4"/>
      <c r="K15" s="3" t="s">
        <v>31</v>
      </c>
      <c r="L15" s="4">
        <v>0.75</v>
      </c>
      <c r="M15" s="4"/>
      <c r="N15" s="4"/>
      <c r="O15" s="4"/>
      <c r="P15" s="3" t="s">
        <v>31</v>
      </c>
      <c r="Q15" s="4">
        <v>0.67</v>
      </c>
      <c r="R15" s="4"/>
      <c r="S15" s="4"/>
      <c r="T15" s="4"/>
      <c r="U15" s="3" t="s">
        <v>31</v>
      </c>
      <c r="V15" s="4">
        <v>0.5</v>
      </c>
      <c r="W15" s="5"/>
      <c r="X15" s="5"/>
      <c r="Y15" s="5"/>
      <c r="Z15" s="3" t="s">
        <v>31</v>
      </c>
      <c r="AA15" s="4">
        <v>0.33</v>
      </c>
    </row>
    <row r="16" spans="1:33" x14ac:dyDescent="0.4">
      <c r="A16" s="5"/>
      <c r="B16" s="5"/>
      <c r="C16" s="5"/>
      <c r="D16" s="5"/>
      <c r="E16" s="5"/>
      <c r="F16" s="38" t="s">
        <v>18</v>
      </c>
      <c r="G16" s="38"/>
      <c r="H16" s="38"/>
      <c r="I16" s="38"/>
      <c r="J16" s="38"/>
      <c r="K16" s="39" t="s">
        <v>29</v>
      </c>
      <c r="L16" s="39"/>
      <c r="M16" s="39"/>
      <c r="N16" s="39"/>
      <c r="O16" s="39"/>
      <c r="P16" s="40" t="s">
        <v>30</v>
      </c>
      <c r="Q16" s="40"/>
      <c r="R16" s="40"/>
      <c r="S16" s="40"/>
      <c r="T16" s="40"/>
      <c r="U16" s="41" t="s">
        <v>23</v>
      </c>
      <c r="V16" s="41"/>
      <c r="W16" s="41"/>
      <c r="X16" s="41"/>
      <c r="Y16" s="41"/>
      <c r="Z16" s="42" t="s">
        <v>32</v>
      </c>
      <c r="AA16" s="42"/>
      <c r="AB16" s="42"/>
      <c r="AC16" s="42"/>
      <c r="AD16" s="42"/>
      <c r="AE16" s="47" t="s">
        <v>43</v>
      </c>
      <c r="AF16" s="47"/>
      <c r="AG16" s="47"/>
    </row>
    <row r="17" spans="1:33" x14ac:dyDescent="0.4">
      <c r="A17" s="6" t="s">
        <v>0</v>
      </c>
      <c r="B17" s="6" t="s">
        <v>5</v>
      </c>
      <c r="C17" s="6" t="s">
        <v>6</v>
      </c>
      <c r="D17" s="6" t="s">
        <v>7</v>
      </c>
      <c r="E17" s="6" t="s">
        <v>13</v>
      </c>
      <c r="F17" s="29" t="s">
        <v>20</v>
      </c>
      <c r="G17" s="29" t="s">
        <v>22</v>
      </c>
      <c r="H17" s="29" t="s">
        <v>16</v>
      </c>
      <c r="I17" s="29" t="s">
        <v>24</v>
      </c>
      <c r="J17" s="29" t="s">
        <v>25</v>
      </c>
      <c r="K17" s="21" t="s">
        <v>20</v>
      </c>
      <c r="L17" s="21" t="s">
        <v>22</v>
      </c>
      <c r="M17" s="21" t="s">
        <v>16</v>
      </c>
      <c r="N17" s="21" t="s">
        <v>24</v>
      </c>
      <c r="O17" s="21" t="s">
        <v>25</v>
      </c>
      <c r="P17" s="25" t="s">
        <v>20</v>
      </c>
      <c r="Q17" s="25" t="s">
        <v>22</v>
      </c>
      <c r="R17" s="25" t="s">
        <v>16</v>
      </c>
      <c r="S17" s="25" t="s">
        <v>24</v>
      </c>
      <c r="T17" s="25" t="s">
        <v>25</v>
      </c>
      <c r="U17" s="12" t="s">
        <v>19</v>
      </c>
      <c r="V17" s="12" t="s">
        <v>21</v>
      </c>
      <c r="W17" s="12" t="s">
        <v>15</v>
      </c>
      <c r="X17" s="12" t="s">
        <v>24</v>
      </c>
      <c r="Y17" s="12" t="s">
        <v>25</v>
      </c>
      <c r="Z17" s="34" t="s">
        <v>20</v>
      </c>
      <c r="AA17" s="34" t="s">
        <v>22</v>
      </c>
      <c r="AB17" s="34" t="s">
        <v>16</v>
      </c>
      <c r="AC17" s="34" t="s">
        <v>24</v>
      </c>
      <c r="AD17" s="34" t="s">
        <v>25</v>
      </c>
      <c r="AE17" s="29" t="s">
        <v>44</v>
      </c>
      <c r="AF17" s="29" t="s">
        <v>42</v>
      </c>
      <c r="AG17" s="29" t="s">
        <v>16</v>
      </c>
    </row>
    <row r="18" spans="1:33" x14ac:dyDescent="0.4">
      <c r="A18" s="50">
        <v>3.2</v>
      </c>
      <c r="B18" s="13">
        <f>($A$2-A18)/A18</f>
        <v>-1.5937500000000049E-2</v>
      </c>
      <c r="C18" s="13">
        <f>(A18-$B$2)/A18</f>
        <v>0.27406250000000004</v>
      </c>
      <c r="D18" s="14">
        <f>B18/C18</f>
        <v>-5.8152793614595383E-2</v>
      </c>
      <c r="E18" s="17">
        <f>C18/(B18+C18)</f>
        <v>1.0617433414043584</v>
      </c>
      <c r="F18" s="30">
        <f>IF(B18&gt;0,MAX(0,($E$2*D18-(1-$E$2))/D18),0)</f>
        <v>0</v>
      </c>
      <c r="G18" s="31">
        <f>$D$2*F18</f>
        <v>0</v>
      </c>
      <c r="H18" s="32">
        <f>ROUNDDOWN((G18/$A18)/100+0.2,0)*100</f>
        <v>0</v>
      </c>
      <c r="I18" s="31">
        <f>G18*$C18</f>
        <v>0</v>
      </c>
      <c r="J18" s="33">
        <f>I18/$C$2</f>
        <v>0</v>
      </c>
      <c r="K18" s="22">
        <f>$F18*L$15</f>
        <v>0</v>
      </c>
      <c r="L18" s="23">
        <f>$D$2*K18</f>
        <v>0</v>
      </c>
      <c r="M18" s="24">
        <f>ROUNDDOWN((L18/$A18)/100+0.2,0)*100</f>
        <v>0</v>
      </c>
      <c r="N18" s="23">
        <f>L18*$C18</f>
        <v>0</v>
      </c>
      <c r="O18" s="22">
        <f>N18/$C$2</f>
        <v>0</v>
      </c>
      <c r="P18" s="26">
        <f>$F18*Q$15</f>
        <v>0</v>
      </c>
      <c r="Q18" s="27">
        <f>$D$2*P18</f>
        <v>0</v>
      </c>
      <c r="R18" s="28">
        <f>ROUNDDOWN((Q18/$A18)/100+0.2,0)*100</f>
        <v>0</v>
      </c>
      <c r="S18" s="27">
        <f>Q18*$C18</f>
        <v>0</v>
      </c>
      <c r="T18" s="26">
        <f>S18/$C$2</f>
        <v>0</v>
      </c>
      <c r="U18" s="20">
        <f>$F18*V$15</f>
        <v>0</v>
      </c>
      <c r="V18" s="15">
        <f>$D$2*U18</f>
        <v>0</v>
      </c>
      <c r="W18" s="16">
        <f>ROUNDDOWN((V18/$A18)/100+0.2,0)*100</f>
        <v>0</v>
      </c>
      <c r="X18" s="15">
        <f>V18*$C18</f>
        <v>0</v>
      </c>
      <c r="Y18" s="20">
        <f>X18/$C$2</f>
        <v>0</v>
      </c>
      <c r="Z18" s="35">
        <f>$F18*AA$15</f>
        <v>0</v>
      </c>
      <c r="AA18" s="36">
        <f>$D$2*Z18</f>
        <v>0</v>
      </c>
      <c r="AB18" s="37">
        <f>ROUNDDOWN((AA18/$A18)/100+0.2,0)*100</f>
        <v>0</v>
      </c>
      <c r="AC18" s="36">
        <f>AA18*$C18</f>
        <v>0</v>
      </c>
      <c r="AD18" s="35">
        <f>AC18/$C$2</f>
        <v>0</v>
      </c>
      <c r="AE18" s="33">
        <f>$C$7-+($C$7-$B$7)*(D18-$C$6)/($B$6-$C$6)</f>
        <v>1.0855986316989741</v>
      </c>
      <c r="AF18" s="33">
        <f>IF(D18&gt;$B$6,0,IF(D18&gt;$C$6,AE18,IF(D18&gt;0,$C$7,1)))</f>
        <v>1</v>
      </c>
      <c r="AG18" s="48">
        <f>ROUNDDOWN(($F$2*AF18)/100+0.2,0)*100</f>
        <v>35000</v>
      </c>
    </row>
    <row r="19" spans="1:33" x14ac:dyDescent="0.4">
      <c r="A19" s="50">
        <v>3.18</v>
      </c>
      <c r="B19" s="13">
        <f>($A$2-A19)/A19</f>
        <v>-9.7484276729560178E-3</v>
      </c>
      <c r="C19" s="13">
        <f>(A19-$B$2)/A19</f>
        <v>0.269496855345912</v>
      </c>
      <c r="D19" s="14">
        <f t="shared" ref="D19:D32" si="0">B19/C19</f>
        <v>-3.617269544924169E-2</v>
      </c>
      <c r="E19" s="17">
        <f t="shared" ref="E19:E32" si="1">C19/(B19+C19)</f>
        <v>1.0375302663438259</v>
      </c>
      <c r="F19" s="30">
        <f t="shared" ref="F19:F63" si="2">IF(B19&gt;0,MAX(0,($E$2*D19-(1-$E$2))/D19),0)</f>
        <v>0</v>
      </c>
      <c r="G19" s="31">
        <f t="shared" ref="G19:G63" si="3">$D$2*F19</f>
        <v>0</v>
      </c>
      <c r="H19" s="32">
        <f t="shared" ref="H19:H63" si="4">ROUNDDOWN((G19/$A19)/100+0.2,0)*100</f>
        <v>0</v>
      </c>
      <c r="I19" s="31">
        <f t="shared" ref="I19:I32" si="5">G19*$C19</f>
        <v>0</v>
      </c>
      <c r="J19" s="33">
        <f t="shared" ref="J19:J63" si="6">I19/$C$2</f>
        <v>0</v>
      </c>
      <c r="K19" s="22">
        <f>$F19*L$15</f>
        <v>0</v>
      </c>
      <c r="L19" s="23">
        <f t="shared" ref="L19:L63" si="7">$D$2*K19</f>
        <v>0</v>
      </c>
      <c r="M19" s="24">
        <f t="shared" ref="M19:M63" si="8">ROUNDDOWN((L19/$A19)/100+0.2,0)*100</f>
        <v>0</v>
      </c>
      <c r="N19" s="23">
        <f t="shared" ref="N19:N32" si="9">L19*$C19</f>
        <v>0</v>
      </c>
      <c r="O19" s="22">
        <f t="shared" ref="O19:O63" si="10">N19/$C$2</f>
        <v>0</v>
      </c>
      <c r="P19" s="26">
        <f>$F19*Q$15</f>
        <v>0</v>
      </c>
      <c r="Q19" s="27">
        <f t="shared" ref="Q19:Q63" si="11">$D$2*P19</f>
        <v>0</v>
      </c>
      <c r="R19" s="28">
        <f t="shared" ref="R19:R63" si="12">ROUNDDOWN((Q19/$A19)/100+0.2,0)*100</f>
        <v>0</v>
      </c>
      <c r="S19" s="27">
        <f t="shared" ref="S19:S32" si="13">Q19*$C19</f>
        <v>0</v>
      </c>
      <c r="T19" s="26">
        <f t="shared" ref="T19:T63" si="14">S19/$C$2</f>
        <v>0</v>
      </c>
      <c r="U19" s="20">
        <f>$F19*V$15</f>
        <v>0</v>
      </c>
      <c r="V19" s="15">
        <f t="shared" ref="V19:V63" si="15">$D$2*U19</f>
        <v>0</v>
      </c>
      <c r="W19" s="16">
        <f t="shared" ref="W19:W63" si="16">ROUNDDOWN((V19/$A19)/100+0.2,0)*100</f>
        <v>0</v>
      </c>
      <c r="X19" s="15">
        <f t="shared" ref="X19:X32" si="17">V19*$C19</f>
        <v>0</v>
      </c>
      <c r="Y19" s="20">
        <f t="shared" ref="Y19:Y63" si="18">X19/$C$2</f>
        <v>0</v>
      </c>
      <c r="Z19" s="35">
        <f>$F19*AA$15</f>
        <v>0</v>
      </c>
      <c r="AA19" s="36">
        <f t="shared" ref="AA19:AA63" si="19">$D$2*Z19</f>
        <v>0</v>
      </c>
      <c r="AB19" s="37">
        <f t="shared" ref="AB19:AB63" si="20">ROUNDDOWN((AA19/$A19)/100+0.2,0)*100</f>
        <v>0</v>
      </c>
      <c r="AC19" s="36">
        <f t="shared" ref="AC19:AC32" si="21">AA19*$C19</f>
        <v>0</v>
      </c>
      <c r="AD19" s="35">
        <f t="shared" ref="AD19:AD63" si="22">AC19/$C$2</f>
        <v>0</v>
      </c>
      <c r="AE19" s="33">
        <f t="shared" ref="AE19:AE32" si="23">$C$7-+($C$7-$B$7)*(D19-$C$6)/($B$6-$C$6)</f>
        <v>1.0570245040840143</v>
      </c>
      <c r="AF19" s="33">
        <f t="shared" ref="AF19:AF36" si="24">IF(D19&gt;$B$6,0,IF(D19&gt;$C$6,AE19,IF(D19&gt;0,$C$7,1)))</f>
        <v>1</v>
      </c>
      <c r="AG19" s="48">
        <f t="shared" ref="AG19:AG63" si="25">ROUNDDOWN(($F$2*AF19)/100+0.2,0)*100</f>
        <v>35000</v>
      </c>
    </row>
    <row r="20" spans="1:33" x14ac:dyDescent="0.4">
      <c r="A20" s="50">
        <v>3.16</v>
      </c>
      <c r="B20" s="13">
        <f>($A$2-A20)/A20</f>
        <v>-3.4810126582278862E-3</v>
      </c>
      <c r="C20" s="13">
        <f>(A20-$B$2)/A20</f>
        <v>0.26487341772151901</v>
      </c>
      <c r="D20" s="14">
        <f t="shared" si="0"/>
        <v>-1.3142174432497156E-2</v>
      </c>
      <c r="E20" s="17">
        <f t="shared" si="1"/>
        <v>1.013317191283293</v>
      </c>
      <c r="F20" s="30">
        <f t="shared" si="2"/>
        <v>0</v>
      </c>
      <c r="G20" s="31">
        <f t="shared" si="3"/>
        <v>0</v>
      </c>
      <c r="H20" s="32">
        <f t="shared" si="4"/>
        <v>0</v>
      </c>
      <c r="I20" s="31">
        <f t="shared" si="5"/>
        <v>0</v>
      </c>
      <c r="J20" s="33">
        <f t="shared" si="6"/>
        <v>0</v>
      </c>
      <c r="K20" s="22">
        <f>$F20*L$15</f>
        <v>0</v>
      </c>
      <c r="L20" s="23">
        <f t="shared" si="7"/>
        <v>0</v>
      </c>
      <c r="M20" s="24">
        <f t="shared" si="8"/>
        <v>0</v>
      </c>
      <c r="N20" s="23">
        <f t="shared" si="9"/>
        <v>0</v>
      </c>
      <c r="O20" s="22">
        <f t="shared" si="10"/>
        <v>0</v>
      </c>
      <c r="P20" s="26">
        <f>$F20*Q$15</f>
        <v>0</v>
      </c>
      <c r="Q20" s="27">
        <f t="shared" si="11"/>
        <v>0</v>
      </c>
      <c r="R20" s="28">
        <f t="shared" si="12"/>
        <v>0</v>
      </c>
      <c r="S20" s="27">
        <f t="shared" si="13"/>
        <v>0</v>
      </c>
      <c r="T20" s="26">
        <f t="shared" si="14"/>
        <v>0</v>
      </c>
      <c r="U20" s="20">
        <f>$F20*V$15</f>
        <v>0</v>
      </c>
      <c r="V20" s="15">
        <f t="shared" si="15"/>
        <v>0</v>
      </c>
      <c r="W20" s="16">
        <f t="shared" si="16"/>
        <v>0</v>
      </c>
      <c r="X20" s="15">
        <f t="shared" si="17"/>
        <v>0</v>
      </c>
      <c r="Y20" s="20">
        <f t="shared" si="18"/>
        <v>0</v>
      </c>
      <c r="Z20" s="35">
        <f>$F20*AA$15</f>
        <v>0</v>
      </c>
      <c r="AA20" s="36">
        <f t="shared" si="19"/>
        <v>0</v>
      </c>
      <c r="AB20" s="37">
        <f t="shared" si="20"/>
        <v>0</v>
      </c>
      <c r="AC20" s="36">
        <f t="shared" si="21"/>
        <v>0</v>
      </c>
      <c r="AD20" s="35">
        <f t="shared" si="22"/>
        <v>0</v>
      </c>
      <c r="AE20" s="33">
        <f t="shared" si="23"/>
        <v>1.0270848267622463</v>
      </c>
      <c r="AF20" s="33">
        <f t="shared" si="24"/>
        <v>1</v>
      </c>
      <c r="AG20" s="48">
        <f t="shared" si="25"/>
        <v>35000</v>
      </c>
    </row>
    <row r="21" spans="1:33" x14ac:dyDescent="0.4">
      <c r="A21" s="50">
        <v>3.14</v>
      </c>
      <c r="B21" s="13">
        <f>($A$2-A21)/A21</f>
        <v>2.8662420382165278E-3</v>
      </c>
      <c r="C21" s="13">
        <f>(A21-$B$2)/A21</f>
        <v>0.26019108280254782</v>
      </c>
      <c r="D21" s="14">
        <f t="shared" si="0"/>
        <v>1.1015911872704891E-2</v>
      </c>
      <c r="E21" s="17">
        <f t="shared" si="1"/>
        <v>0.98910411622276051</v>
      </c>
      <c r="F21" s="30">
        <f t="shared" si="2"/>
        <v>0</v>
      </c>
      <c r="G21" s="31">
        <f t="shared" si="3"/>
        <v>0</v>
      </c>
      <c r="H21" s="32">
        <f t="shared" si="4"/>
        <v>0</v>
      </c>
      <c r="I21" s="31">
        <f t="shared" si="5"/>
        <v>0</v>
      </c>
      <c r="J21" s="33">
        <f t="shared" si="6"/>
        <v>0</v>
      </c>
      <c r="K21" s="22">
        <f>$F21*L$15</f>
        <v>0</v>
      </c>
      <c r="L21" s="23">
        <f t="shared" si="7"/>
        <v>0</v>
      </c>
      <c r="M21" s="24">
        <f t="shared" si="8"/>
        <v>0</v>
      </c>
      <c r="N21" s="23">
        <f t="shared" si="9"/>
        <v>0</v>
      </c>
      <c r="O21" s="22">
        <f t="shared" si="10"/>
        <v>0</v>
      </c>
      <c r="P21" s="26">
        <f>$F21*Q$15</f>
        <v>0</v>
      </c>
      <c r="Q21" s="27">
        <f t="shared" si="11"/>
        <v>0</v>
      </c>
      <c r="R21" s="28">
        <f t="shared" si="12"/>
        <v>0</v>
      </c>
      <c r="S21" s="27">
        <f t="shared" si="13"/>
        <v>0</v>
      </c>
      <c r="T21" s="26">
        <f t="shared" si="14"/>
        <v>0</v>
      </c>
      <c r="U21" s="20">
        <f>$F21*V$15</f>
        <v>0</v>
      </c>
      <c r="V21" s="15">
        <f t="shared" si="15"/>
        <v>0</v>
      </c>
      <c r="W21" s="16">
        <f t="shared" si="16"/>
        <v>0</v>
      </c>
      <c r="X21" s="15">
        <f t="shared" si="17"/>
        <v>0</v>
      </c>
      <c r="Y21" s="20">
        <f t="shared" si="18"/>
        <v>0</v>
      </c>
      <c r="Z21" s="35">
        <f>$F21*AA$15</f>
        <v>0</v>
      </c>
      <c r="AA21" s="36">
        <f t="shared" si="19"/>
        <v>0</v>
      </c>
      <c r="AB21" s="37">
        <f t="shared" si="20"/>
        <v>0</v>
      </c>
      <c r="AC21" s="36">
        <f t="shared" si="21"/>
        <v>0</v>
      </c>
      <c r="AD21" s="35">
        <f t="shared" si="22"/>
        <v>0</v>
      </c>
      <c r="AE21" s="33">
        <f t="shared" si="23"/>
        <v>0.99567931456548364</v>
      </c>
      <c r="AF21" s="33">
        <f t="shared" si="24"/>
        <v>0.75</v>
      </c>
      <c r="AG21" s="48">
        <f t="shared" si="25"/>
        <v>26200</v>
      </c>
    </row>
    <row r="22" spans="1:33" x14ac:dyDescent="0.4">
      <c r="A22" s="50">
        <v>3.12</v>
      </c>
      <c r="B22" s="13">
        <f>($A$2-A22)/A22</f>
        <v>9.2948717948717671E-3</v>
      </c>
      <c r="C22" s="13">
        <f>(A22-$B$2)/A22</f>
        <v>0.25544871794871798</v>
      </c>
      <c r="D22" s="14">
        <f t="shared" si="0"/>
        <v>3.638644918444154E-2</v>
      </c>
      <c r="E22" s="17">
        <f t="shared" si="1"/>
        <v>0.96489104116222768</v>
      </c>
      <c r="F22" s="30">
        <f t="shared" si="2"/>
        <v>0</v>
      </c>
      <c r="G22" s="31">
        <f t="shared" si="3"/>
        <v>0</v>
      </c>
      <c r="H22" s="32">
        <f t="shared" si="4"/>
        <v>0</v>
      </c>
      <c r="I22" s="31">
        <f t="shared" si="5"/>
        <v>0</v>
      </c>
      <c r="J22" s="33">
        <f t="shared" si="6"/>
        <v>0</v>
      </c>
      <c r="K22" s="22">
        <f>$F22*L$15</f>
        <v>0</v>
      </c>
      <c r="L22" s="23">
        <f t="shared" si="7"/>
        <v>0</v>
      </c>
      <c r="M22" s="24">
        <f t="shared" si="8"/>
        <v>0</v>
      </c>
      <c r="N22" s="23">
        <f t="shared" si="9"/>
        <v>0</v>
      </c>
      <c r="O22" s="22">
        <f t="shared" si="10"/>
        <v>0</v>
      </c>
      <c r="P22" s="26">
        <f>$F22*Q$15</f>
        <v>0</v>
      </c>
      <c r="Q22" s="27">
        <f t="shared" si="11"/>
        <v>0</v>
      </c>
      <c r="R22" s="28">
        <f t="shared" si="12"/>
        <v>0</v>
      </c>
      <c r="S22" s="27">
        <f t="shared" si="13"/>
        <v>0</v>
      </c>
      <c r="T22" s="26">
        <f t="shared" si="14"/>
        <v>0</v>
      </c>
      <c r="U22" s="20">
        <f>$F22*V$15</f>
        <v>0</v>
      </c>
      <c r="V22" s="15">
        <f t="shared" si="15"/>
        <v>0</v>
      </c>
      <c r="W22" s="16">
        <f t="shared" si="16"/>
        <v>0</v>
      </c>
      <c r="X22" s="15">
        <f t="shared" si="17"/>
        <v>0</v>
      </c>
      <c r="Y22" s="20">
        <f t="shared" si="18"/>
        <v>0</v>
      </c>
      <c r="Z22" s="35">
        <f>$F22*AA$15</f>
        <v>0</v>
      </c>
      <c r="AA22" s="36">
        <f t="shared" si="19"/>
        <v>0</v>
      </c>
      <c r="AB22" s="37">
        <f t="shared" si="20"/>
        <v>0</v>
      </c>
      <c r="AC22" s="36">
        <f t="shared" si="21"/>
        <v>0</v>
      </c>
      <c r="AD22" s="35">
        <f t="shared" si="22"/>
        <v>0</v>
      </c>
      <c r="AE22" s="33">
        <f t="shared" si="23"/>
        <v>0.96269761606022608</v>
      </c>
      <c r="AF22" s="33">
        <f t="shared" si="24"/>
        <v>0.75</v>
      </c>
      <c r="AG22" s="48">
        <f t="shared" si="25"/>
        <v>26200</v>
      </c>
    </row>
    <row r="23" spans="1:33" x14ac:dyDescent="0.4">
      <c r="A23" s="50">
        <v>3.1</v>
      </c>
      <c r="B23" s="13">
        <f>($A$2-A23)/A23</f>
        <v>1.5806451612903203E-2</v>
      </c>
      <c r="C23" s="13">
        <f>(A23-$B$2)/A23</f>
        <v>0.2506451612903226</v>
      </c>
      <c r="D23" s="14">
        <f t="shared" si="0"/>
        <v>6.306306306306296E-2</v>
      </c>
      <c r="E23" s="17">
        <f t="shared" si="1"/>
        <v>0.94067796610169496</v>
      </c>
      <c r="F23" s="30">
        <f t="shared" si="2"/>
        <v>0</v>
      </c>
      <c r="G23" s="31">
        <f t="shared" si="3"/>
        <v>0</v>
      </c>
      <c r="H23" s="32">
        <f t="shared" si="4"/>
        <v>0</v>
      </c>
      <c r="I23" s="31">
        <f t="shared" si="5"/>
        <v>0</v>
      </c>
      <c r="J23" s="33">
        <f t="shared" si="6"/>
        <v>0</v>
      </c>
      <c r="K23" s="22">
        <f>$F23*L$15</f>
        <v>0</v>
      </c>
      <c r="L23" s="23">
        <f t="shared" si="7"/>
        <v>0</v>
      </c>
      <c r="M23" s="24">
        <f t="shared" si="8"/>
        <v>0</v>
      </c>
      <c r="N23" s="23">
        <f t="shared" si="9"/>
        <v>0</v>
      </c>
      <c r="O23" s="22">
        <f t="shared" si="10"/>
        <v>0</v>
      </c>
      <c r="P23" s="26">
        <f>$F23*Q$15</f>
        <v>0</v>
      </c>
      <c r="Q23" s="27">
        <f t="shared" si="11"/>
        <v>0</v>
      </c>
      <c r="R23" s="28">
        <f t="shared" si="12"/>
        <v>0</v>
      </c>
      <c r="S23" s="27">
        <f t="shared" si="13"/>
        <v>0</v>
      </c>
      <c r="T23" s="26">
        <f t="shared" si="14"/>
        <v>0</v>
      </c>
      <c r="U23" s="20">
        <f>$F23*V$15</f>
        <v>0</v>
      </c>
      <c r="V23" s="15">
        <f t="shared" si="15"/>
        <v>0</v>
      </c>
      <c r="W23" s="16">
        <f t="shared" si="16"/>
        <v>0</v>
      </c>
      <c r="X23" s="15">
        <f t="shared" si="17"/>
        <v>0</v>
      </c>
      <c r="Y23" s="20">
        <f t="shared" si="18"/>
        <v>0</v>
      </c>
      <c r="Z23" s="35">
        <f>$F23*AA$15</f>
        <v>0</v>
      </c>
      <c r="AA23" s="36">
        <f t="shared" si="19"/>
        <v>0</v>
      </c>
      <c r="AB23" s="37">
        <f t="shared" si="20"/>
        <v>0</v>
      </c>
      <c r="AC23" s="36">
        <f t="shared" si="21"/>
        <v>0</v>
      </c>
      <c r="AD23" s="35">
        <f t="shared" si="22"/>
        <v>0</v>
      </c>
      <c r="AE23" s="33">
        <f t="shared" si="23"/>
        <v>0.9280180180180182</v>
      </c>
      <c r="AF23" s="33">
        <f t="shared" si="24"/>
        <v>0.75</v>
      </c>
      <c r="AG23" s="48">
        <f t="shared" si="25"/>
        <v>26200</v>
      </c>
    </row>
    <row r="24" spans="1:33" x14ac:dyDescent="0.4">
      <c r="A24" s="50">
        <v>3.08</v>
      </c>
      <c r="B24" s="13">
        <f>($A$2-A24)/A24</f>
        <v>2.2402597402597386E-2</v>
      </c>
      <c r="C24" s="13">
        <f>(A24-$B$2)/A24</f>
        <v>0.24577922077922082</v>
      </c>
      <c r="D24" s="14">
        <f t="shared" si="0"/>
        <v>9.1149273447820256E-2</v>
      </c>
      <c r="E24" s="17">
        <f t="shared" si="1"/>
        <v>0.91646489104116236</v>
      </c>
      <c r="F24" s="30">
        <f t="shared" si="2"/>
        <v>0</v>
      </c>
      <c r="G24" s="31">
        <f t="shared" si="3"/>
        <v>0</v>
      </c>
      <c r="H24" s="32">
        <f t="shared" si="4"/>
        <v>0</v>
      </c>
      <c r="I24" s="31">
        <f t="shared" si="5"/>
        <v>0</v>
      </c>
      <c r="J24" s="33">
        <f t="shared" si="6"/>
        <v>0</v>
      </c>
      <c r="K24" s="22">
        <f>$F24*L$15</f>
        <v>0</v>
      </c>
      <c r="L24" s="23">
        <f t="shared" si="7"/>
        <v>0</v>
      </c>
      <c r="M24" s="24">
        <f t="shared" si="8"/>
        <v>0</v>
      </c>
      <c r="N24" s="23">
        <f t="shared" si="9"/>
        <v>0</v>
      </c>
      <c r="O24" s="22">
        <f t="shared" si="10"/>
        <v>0</v>
      </c>
      <c r="P24" s="26">
        <f>$F24*Q$15</f>
        <v>0</v>
      </c>
      <c r="Q24" s="27">
        <f t="shared" si="11"/>
        <v>0</v>
      </c>
      <c r="R24" s="28">
        <f t="shared" si="12"/>
        <v>0</v>
      </c>
      <c r="S24" s="27">
        <f t="shared" si="13"/>
        <v>0</v>
      </c>
      <c r="T24" s="26">
        <f t="shared" si="14"/>
        <v>0</v>
      </c>
      <c r="U24" s="20">
        <f>$F24*V$15</f>
        <v>0</v>
      </c>
      <c r="V24" s="15">
        <f t="shared" si="15"/>
        <v>0</v>
      </c>
      <c r="W24" s="16">
        <f t="shared" si="16"/>
        <v>0</v>
      </c>
      <c r="X24" s="15">
        <f t="shared" si="17"/>
        <v>0</v>
      </c>
      <c r="Y24" s="20">
        <f t="shared" si="18"/>
        <v>0</v>
      </c>
      <c r="Z24" s="35">
        <f>$F24*AA$15</f>
        <v>0</v>
      </c>
      <c r="AA24" s="36">
        <f t="shared" si="19"/>
        <v>0</v>
      </c>
      <c r="AB24" s="37">
        <f t="shared" si="20"/>
        <v>0</v>
      </c>
      <c r="AC24" s="36">
        <f t="shared" si="21"/>
        <v>0</v>
      </c>
      <c r="AD24" s="35">
        <f t="shared" si="22"/>
        <v>0</v>
      </c>
      <c r="AE24" s="33">
        <f t="shared" si="23"/>
        <v>0.89150594451783371</v>
      </c>
      <c r="AF24" s="33">
        <f t="shared" si="24"/>
        <v>0.75</v>
      </c>
      <c r="AG24" s="48">
        <f t="shared" si="25"/>
        <v>26200</v>
      </c>
    </row>
    <row r="25" spans="1:33" x14ac:dyDescent="0.4">
      <c r="A25" s="50">
        <v>3.06</v>
      </c>
      <c r="B25" s="13">
        <f>($A$2-A25)/A25</f>
        <v>2.9084967320261428E-2</v>
      </c>
      <c r="C25" s="13">
        <f>(A25-$B$2)/A25</f>
        <v>0.24084967320261441</v>
      </c>
      <c r="D25" s="14">
        <f t="shared" si="0"/>
        <v>0.12075983717774758</v>
      </c>
      <c r="E25" s="17">
        <f t="shared" si="1"/>
        <v>0.89225181598062953</v>
      </c>
      <c r="F25" s="30">
        <f t="shared" si="2"/>
        <v>0</v>
      </c>
      <c r="G25" s="31">
        <f t="shared" si="3"/>
        <v>0</v>
      </c>
      <c r="H25" s="32">
        <f t="shared" si="4"/>
        <v>0</v>
      </c>
      <c r="I25" s="31">
        <f t="shared" si="5"/>
        <v>0</v>
      </c>
      <c r="J25" s="33">
        <f t="shared" si="6"/>
        <v>0</v>
      </c>
      <c r="K25" s="22">
        <f>$F25*L$15</f>
        <v>0</v>
      </c>
      <c r="L25" s="23">
        <f t="shared" si="7"/>
        <v>0</v>
      </c>
      <c r="M25" s="24">
        <f t="shared" si="8"/>
        <v>0</v>
      </c>
      <c r="N25" s="23">
        <f t="shared" si="9"/>
        <v>0</v>
      </c>
      <c r="O25" s="22">
        <f t="shared" si="10"/>
        <v>0</v>
      </c>
      <c r="P25" s="26">
        <f>$F25*Q$15</f>
        <v>0</v>
      </c>
      <c r="Q25" s="27">
        <f t="shared" si="11"/>
        <v>0</v>
      </c>
      <c r="R25" s="28">
        <f t="shared" si="12"/>
        <v>0</v>
      </c>
      <c r="S25" s="27">
        <f t="shared" si="13"/>
        <v>0</v>
      </c>
      <c r="T25" s="26">
        <f t="shared" si="14"/>
        <v>0</v>
      </c>
      <c r="U25" s="20">
        <f>$F25*V$15</f>
        <v>0</v>
      </c>
      <c r="V25" s="15">
        <f t="shared" si="15"/>
        <v>0</v>
      </c>
      <c r="W25" s="16">
        <f t="shared" si="16"/>
        <v>0</v>
      </c>
      <c r="X25" s="15">
        <f t="shared" si="17"/>
        <v>0</v>
      </c>
      <c r="Y25" s="20">
        <f t="shared" si="18"/>
        <v>0</v>
      </c>
      <c r="Z25" s="35">
        <f>$F25*AA$15</f>
        <v>0</v>
      </c>
      <c r="AA25" s="36">
        <f t="shared" si="19"/>
        <v>0</v>
      </c>
      <c r="AB25" s="37">
        <f t="shared" si="20"/>
        <v>0</v>
      </c>
      <c r="AC25" s="36">
        <f t="shared" si="21"/>
        <v>0</v>
      </c>
      <c r="AD25" s="35">
        <f t="shared" si="22"/>
        <v>0</v>
      </c>
      <c r="AE25" s="33">
        <f t="shared" si="23"/>
        <v>0.85301221166892816</v>
      </c>
      <c r="AF25" s="33">
        <f t="shared" si="24"/>
        <v>0.75</v>
      </c>
      <c r="AG25" s="48">
        <f t="shared" si="25"/>
        <v>26200</v>
      </c>
    </row>
    <row r="26" spans="1:33" x14ac:dyDescent="0.4">
      <c r="A26" s="50">
        <v>3.04</v>
      </c>
      <c r="B26" s="13">
        <f>($A$2-A26)/A26</f>
        <v>3.585526315789473E-2</v>
      </c>
      <c r="C26" s="13">
        <f>(A26-$B$2)/A26</f>
        <v>0.23585526315789476</v>
      </c>
      <c r="D26" s="14">
        <f t="shared" si="0"/>
        <v>0.15202231520223147</v>
      </c>
      <c r="E26" s="17">
        <f t="shared" si="1"/>
        <v>0.86803874092009681</v>
      </c>
      <c r="F26" s="30">
        <f t="shared" si="2"/>
        <v>0</v>
      </c>
      <c r="G26" s="31">
        <f t="shared" si="3"/>
        <v>0</v>
      </c>
      <c r="H26" s="32">
        <f t="shared" si="4"/>
        <v>0</v>
      </c>
      <c r="I26" s="31">
        <f t="shared" si="5"/>
        <v>0</v>
      </c>
      <c r="J26" s="33">
        <f t="shared" si="6"/>
        <v>0</v>
      </c>
      <c r="K26" s="22">
        <f>$F26*L$15</f>
        <v>0</v>
      </c>
      <c r="L26" s="23">
        <f t="shared" si="7"/>
        <v>0</v>
      </c>
      <c r="M26" s="24">
        <f t="shared" si="8"/>
        <v>0</v>
      </c>
      <c r="N26" s="23">
        <f t="shared" si="9"/>
        <v>0</v>
      </c>
      <c r="O26" s="22">
        <f t="shared" si="10"/>
        <v>0</v>
      </c>
      <c r="P26" s="26">
        <f>$F26*Q$15</f>
        <v>0</v>
      </c>
      <c r="Q26" s="27">
        <f t="shared" si="11"/>
        <v>0</v>
      </c>
      <c r="R26" s="28">
        <f t="shared" si="12"/>
        <v>0</v>
      </c>
      <c r="S26" s="27">
        <f t="shared" si="13"/>
        <v>0</v>
      </c>
      <c r="T26" s="26">
        <f t="shared" si="14"/>
        <v>0</v>
      </c>
      <c r="U26" s="20">
        <f>$F26*V$15</f>
        <v>0</v>
      </c>
      <c r="V26" s="15">
        <f t="shared" si="15"/>
        <v>0</v>
      </c>
      <c r="W26" s="16">
        <f t="shared" si="16"/>
        <v>0</v>
      </c>
      <c r="X26" s="15">
        <f t="shared" si="17"/>
        <v>0</v>
      </c>
      <c r="Y26" s="20">
        <f t="shared" si="18"/>
        <v>0</v>
      </c>
      <c r="Z26" s="35">
        <f>$F26*AA$15</f>
        <v>0</v>
      </c>
      <c r="AA26" s="36">
        <f t="shared" si="19"/>
        <v>0</v>
      </c>
      <c r="AB26" s="37">
        <f t="shared" si="20"/>
        <v>0</v>
      </c>
      <c r="AC26" s="36">
        <f t="shared" si="21"/>
        <v>0</v>
      </c>
      <c r="AD26" s="35">
        <f t="shared" si="22"/>
        <v>0</v>
      </c>
      <c r="AE26" s="33">
        <f t="shared" si="23"/>
        <v>0.81237099023709913</v>
      </c>
      <c r="AF26" s="33">
        <f t="shared" si="24"/>
        <v>0.75</v>
      </c>
      <c r="AG26" s="48">
        <f t="shared" si="25"/>
        <v>26200</v>
      </c>
    </row>
    <row r="27" spans="1:33" x14ac:dyDescent="0.4">
      <c r="A27" s="50">
        <v>3.02</v>
      </c>
      <c r="B27" s="13">
        <f>($A$2-A27)/A27</f>
        <v>4.2715231788079469E-2</v>
      </c>
      <c r="C27" s="13">
        <f>(A27-$B$2)/A27</f>
        <v>0.23079470198675497</v>
      </c>
      <c r="D27" s="14">
        <f t="shared" si="0"/>
        <v>0.18507890961262552</v>
      </c>
      <c r="E27" s="17">
        <f t="shared" si="1"/>
        <v>0.84382566585956409</v>
      </c>
      <c r="F27" s="30">
        <f t="shared" si="2"/>
        <v>0</v>
      </c>
      <c r="G27" s="31">
        <f t="shared" si="3"/>
        <v>0</v>
      </c>
      <c r="H27" s="32">
        <f t="shared" si="4"/>
        <v>0</v>
      </c>
      <c r="I27" s="31">
        <f t="shared" si="5"/>
        <v>0</v>
      </c>
      <c r="J27" s="33">
        <f t="shared" si="6"/>
        <v>0</v>
      </c>
      <c r="K27" s="22">
        <f>$F27*L$15</f>
        <v>0</v>
      </c>
      <c r="L27" s="23">
        <f t="shared" si="7"/>
        <v>0</v>
      </c>
      <c r="M27" s="24">
        <f t="shared" si="8"/>
        <v>0</v>
      </c>
      <c r="N27" s="23">
        <f t="shared" si="9"/>
        <v>0</v>
      </c>
      <c r="O27" s="22">
        <f t="shared" si="10"/>
        <v>0</v>
      </c>
      <c r="P27" s="26">
        <f>$F27*Q$15</f>
        <v>0</v>
      </c>
      <c r="Q27" s="27">
        <f t="shared" si="11"/>
        <v>0</v>
      </c>
      <c r="R27" s="28">
        <f t="shared" si="12"/>
        <v>0</v>
      </c>
      <c r="S27" s="27">
        <f t="shared" si="13"/>
        <v>0</v>
      </c>
      <c r="T27" s="26">
        <f t="shared" si="14"/>
        <v>0</v>
      </c>
      <c r="U27" s="20">
        <f>$F27*V$15</f>
        <v>0</v>
      </c>
      <c r="V27" s="15">
        <f t="shared" si="15"/>
        <v>0</v>
      </c>
      <c r="W27" s="16">
        <f t="shared" si="16"/>
        <v>0</v>
      </c>
      <c r="X27" s="15">
        <f t="shared" si="17"/>
        <v>0</v>
      </c>
      <c r="Y27" s="20">
        <f t="shared" si="18"/>
        <v>0</v>
      </c>
      <c r="Z27" s="35">
        <f>$F27*AA$15</f>
        <v>0</v>
      </c>
      <c r="AA27" s="36">
        <f t="shared" si="19"/>
        <v>0</v>
      </c>
      <c r="AB27" s="37">
        <f t="shared" si="20"/>
        <v>0</v>
      </c>
      <c r="AC27" s="36">
        <f t="shared" si="21"/>
        <v>0</v>
      </c>
      <c r="AD27" s="35">
        <f t="shared" si="22"/>
        <v>0</v>
      </c>
      <c r="AE27" s="33">
        <f t="shared" si="23"/>
        <v>0.76939741750358681</v>
      </c>
      <c r="AF27" s="33">
        <f t="shared" si="24"/>
        <v>0.75</v>
      </c>
      <c r="AG27" s="48">
        <f t="shared" si="25"/>
        <v>26200</v>
      </c>
    </row>
    <row r="28" spans="1:33" x14ac:dyDescent="0.4">
      <c r="A28" s="50">
        <v>3</v>
      </c>
      <c r="B28" s="13">
        <f>($A$2-A28)/A28</f>
        <v>4.9666666666666671E-2</v>
      </c>
      <c r="C28" s="13">
        <f>(A28-$B$2)/A28</f>
        <v>0.22566666666666668</v>
      </c>
      <c r="D28" s="14">
        <f t="shared" si="0"/>
        <v>0.22008862629246678</v>
      </c>
      <c r="E28" s="17">
        <f t="shared" si="1"/>
        <v>0.81961259079903137</v>
      </c>
      <c r="F28" s="30">
        <f t="shared" si="2"/>
        <v>0</v>
      </c>
      <c r="G28" s="31">
        <f t="shared" si="3"/>
        <v>0</v>
      </c>
      <c r="H28" s="32">
        <f t="shared" si="4"/>
        <v>0</v>
      </c>
      <c r="I28" s="31">
        <f t="shared" si="5"/>
        <v>0</v>
      </c>
      <c r="J28" s="33">
        <f t="shared" si="6"/>
        <v>0</v>
      </c>
      <c r="K28" s="22">
        <f>$F28*L$15</f>
        <v>0</v>
      </c>
      <c r="L28" s="23">
        <f t="shared" si="7"/>
        <v>0</v>
      </c>
      <c r="M28" s="24">
        <f t="shared" si="8"/>
        <v>0</v>
      </c>
      <c r="N28" s="23">
        <f t="shared" si="9"/>
        <v>0</v>
      </c>
      <c r="O28" s="22">
        <f t="shared" si="10"/>
        <v>0</v>
      </c>
      <c r="P28" s="26">
        <f>$F28*Q$15</f>
        <v>0</v>
      </c>
      <c r="Q28" s="27">
        <f t="shared" si="11"/>
        <v>0</v>
      </c>
      <c r="R28" s="28">
        <f t="shared" si="12"/>
        <v>0</v>
      </c>
      <c r="S28" s="27">
        <f t="shared" si="13"/>
        <v>0</v>
      </c>
      <c r="T28" s="26">
        <f t="shared" si="14"/>
        <v>0</v>
      </c>
      <c r="U28" s="20">
        <f>$F28*V$15</f>
        <v>0</v>
      </c>
      <c r="V28" s="15">
        <f t="shared" si="15"/>
        <v>0</v>
      </c>
      <c r="W28" s="16">
        <f t="shared" si="16"/>
        <v>0</v>
      </c>
      <c r="X28" s="15">
        <f t="shared" si="17"/>
        <v>0</v>
      </c>
      <c r="Y28" s="20">
        <f t="shared" si="18"/>
        <v>0</v>
      </c>
      <c r="Z28" s="35">
        <f>$F28*AA$15</f>
        <v>0</v>
      </c>
      <c r="AA28" s="36">
        <f t="shared" si="19"/>
        <v>0</v>
      </c>
      <c r="AB28" s="37">
        <f t="shared" si="20"/>
        <v>0</v>
      </c>
      <c r="AC28" s="36">
        <f t="shared" si="21"/>
        <v>0</v>
      </c>
      <c r="AD28" s="35">
        <f t="shared" si="22"/>
        <v>0</v>
      </c>
      <c r="AE28" s="33">
        <f t="shared" si="23"/>
        <v>0.72388478581979321</v>
      </c>
      <c r="AF28" s="33">
        <f t="shared" si="24"/>
        <v>0.72388478581979321</v>
      </c>
      <c r="AG28" s="48">
        <f t="shared" si="25"/>
        <v>25300</v>
      </c>
    </row>
    <row r="29" spans="1:33" x14ac:dyDescent="0.4">
      <c r="A29" s="50">
        <v>2.98</v>
      </c>
      <c r="B29" s="13">
        <f>($A$2-A29)/A29</f>
        <v>5.6711409395973168E-2</v>
      </c>
      <c r="C29" s="13">
        <f>(A29-$B$2)/A29</f>
        <v>0.22046979865771812</v>
      </c>
      <c r="D29" s="14">
        <f t="shared" si="0"/>
        <v>0.25722983257229837</v>
      </c>
      <c r="E29" s="17">
        <f t="shared" si="1"/>
        <v>0.79539951573849876</v>
      </c>
      <c r="F29" s="30">
        <f t="shared" si="2"/>
        <v>0</v>
      </c>
      <c r="G29" s="31">
        <f t="shared" si="3"/>
        <v>0</v>
      </c>
      <c r="H29" s="32">
        <f t="shared" si="4"/>
        <v>0</v>
      </c>
      <c r="I29" s="31">
        <f t="shared" si="5"/>
        <v>0</v>
      </c>
      <c r="J29" s="33">
        <f t="shared" si="6"/>
        <v>0</v>
      </c>
      <c r="K29" s="22">
        <f>$F29*L$15</f>
        <v>0</v>
      </c>
      <c r="L29" s="23">
        <f t="shared" si="7"/>
        <v>0</v>
      </c>
      <c r="M29" s="24">
        <f t="shared" si="8"/>
        <v>0</v>
      </c>
      <c r="N29" s="23">
        <f t="shared" si="9"/>
        <v>0</v>
      </c>
      <c r="O29" s="22">
        <f t="shared" si="10"/>
        <v>0</v>
      </c>
      <c r="P29" s="26">
        <f>$F29*Q$15</f>
        <v>0</v>
      </c>
      <c r="Q29" s="27">
        <f t="shared" si="11"/>
        <v>0</v>
      </c>
      <c r="R29" s="28">
        <f t="shared" si="12"/>
        <v>0</v>
      </c>
      <c r="S29" s="27">
        <f t="shared" si="13"/>
        <v>0</v>
      </c>
      <c r="T29" s="26">
        <f t="shared" si="14"/>
        <v>0</v>
      </c>
      <c r="U29" s="20">
        <f>$F29*V$15</f>
        <v>0</v>
      </c>
      <c r="V29" s="15">
        <f t="shared" si="15"/>
        <v>0</v>
      </c>
      <c r="W29" s="16">
        <f t="shared" si="16"/>
        <v>0</v>
      </c>
      <c r="X29" s="15">
        <f t="shared" si="17"/>
        <v>0</v>
      </c>
      <c r="Y29" s="20">
        <f t="shared" si="18"/>
        <v>0</v>
      </c>
      <c r="Z29" s="35">
        <f>$F29*AA$15</f>
        <v>0</v>
      </c>
      <c r="AA29" s="36">
        <f t="shared" si="19"/>
        <v>0</v>
      </c>
      <c r="AB29" s="37">
        <f t="shared" si="20"/>
        <v>0</v>
      </c>
      <c r="AC29" s="36">
        <f t="shared" si="21"/>
        <v>0</v>
      </c>
      <c r="AD29" s="35">
        <f t="shared" si="22"/>
        <v>0</v>
      </c>
      <c r="AE29" s="33">
        <f t="shared" si="23"/>
        <v>0.67560121765601211</v>
      </c>
      <c r="AF29" s="33">
        <f t="shared" si="24"/>
        <v>0.67560121765601211</v>
      </c>
      <c r="AG29" s="48">
        <f t="shared" si="25"/>
        <v>23600</v>
      </c>
    </row>
    <row r="30" spans="1:33" x14ac:dyDescent="0.4">
      <c r="A30" s="50">
        <v>2.96</v>
      </c>
      <c r="B30" s="13">
        <f>($A$2-A30)/A30</f>
        <v>6.3851351351351365E-2</v>
      </c>
      <c r="C30" s="13">
        <f>(A30-$B$2)/A30</f>
        <v>0.2152027027027027</v>
      </c>
      <c r="D30" s="14">
        <f t="shared" si="0"/>
        <v>0.29670329670329676</v>
      </c>
      <c r="E30" s="17">
        <f t="shared" si="1"/>
        <v>0.77118644067796616</v>
      </c>
      <c r="F30" s="30">
        <f t="shared" si="2"/>
        <v>0</v>
      </c>
      <c r="G30" s="31">
        <f t="shared" si="3"/>
        <v>0</v>
      </c>
      <c r="H30" s="32">
        <f t="shared" si="4"/>
        <v>0</v>
      </c>
      <c r="I30" s="31">
        <f t="shared" si="5"/>
        <v>0</v>
      </c>
      <c r="J30" s="33">
        <f t="shared" si="6"/>
        <v>0</v>
      </c>
      <c r="K30" s="22">
        <f>$F30*L$15</f>
        <v>0</v>
      </c>
      <c r="L30" s="23">
        <f t="shared" si="7"/>
        <v>0</v>
      </c>
      <c r="M30" s="24">
        <f t="shared" si="8"/>
        <v>0</v>
      </c>
      <c r="N30" s="23">
        <f t="shared" si="9"/>
        <v>0</v>
      </c>
      <c r="O30" s="22">
        <f t="shared" si="10"/>
        <v>0</v>
      </c>
      <c r="P30" s="26">
        <f>$F30*Q$15</f>
        <v>0</v>
      </c>
      <c r="Q30" s="27">
        <f t="shared" si="11"/>
        <v>0</v>
      </c>
      <c r="R30" s="28">
        <f t="shared" si="12"/>
        <v>0</v>
      </c>
      <c r="S30" s="27">
        <f t="shared" si="13"/>
        <v>0</v>
      </c>
      <c r="T30" s="26">
        <f t="shared" si="14"/>
        <v>0</v>
      </c>
      <c r="U30" s="20">
        <f>$F30*V$15</f>
        <v>0</v>
      </c>
      <c r="V30" s="15">
        <f t="shared" si="15"/>
        <v>0</v>
      </c>
      <c r="W30" s="16">
        <f t="shared" si="16"/>
        <v>0</v>
      </c>
      <c r="X30" s="15">
        <f t="shared" si="17"/>
        <v>0</v>
      </c>
      <c r="Y30" s="20">
        <f t="shared" si="18"/>
        <v>0</v>
      </c>
      <c r="Z30" s="35">
        <f>$F30*AA$15</f>
        <v>0</v>
      </c>
      <c r="AA30" s="36">
        <f t="shared" si="19"/>
        <v>0</v>
      </c>
      <c r="AB30" s="37">
        <f t="shared" si="20"/>
        <v>0</v>
      </c>
      <c r="AC30" s="36">
        <f t="shared" si="21"/>
        <v>0</v>
      </c>
      <c r="AD30" s="35">
        <f t="shared" si="22"/>
        <v>0</v>
      </c>
      <c r="AE30" s="33">
        <f t="shared" si="23"/>
        <v>0.62428571428571422</v>
      </c>
      <c r="AF30" s="33">
        <f t="shared" si="24"/>
        <v>0.62428571428571422</v>
      </c>
      <c r="AG30" s="48">
        <f t="shared" si="25"/>
        <v>21800</v>
      </c>
    </row>
    <row r="31" spans="1:33" x14ac:dyDescent="0.4">
      <c r="A31" s="50">
        <v>2.94</v>
      </c>
      <c r="B31" s="13">
        <f>($A$2-A31)/A31</f>
        <v>7.1088435374149689E-2</v>
      </c>
      <c r="C31" s="13">
        <f>(A31-$B$2)/A31</f>
        <v>0.20986394557823129</v>
      </c>
      <c r="D31" s="14">
        <f t="shared" si="0"/>
        <v>0.33873581847649931</v>
      </c>
      <c r="E31" s="17">
        <f t="shared" si="1"/>
        <v>0.74697336561743344</v>
      </c>
      <c r="F31" s="30">
        <f t="shared" si="2"/>
        <v>0</v>
      </c>
      <c r="G31" s="31">
        <f t="shared" si="3"/>
        <v>0</v>
      </c>
      <c r="H31" s="32">
        <f t="shared" si="4"/>
        <v>0</v>
      </c>
      <c r="I31" s="31">
        <f t="shared" si="5"/>
        <v>0</v>
      </c>
      <c r="J31" s="33">
        <f t="shared" si="6"/>
        <v>0</v>
      </c>
      <c r="K31" s="22">
        <f>$F31*L$15</f>
        <v>0</v>
      </c>
      <c r="L31" s="23">
        <f t="shared" si="7"/>
        <v>0</v>
      </c>
      <c r="M31" s="24">
        <f t="shared" si="8"/>
        <v>0</v>
      </c>
      <c r="N31" s="23">
        <f t="shared" si="9"/>
        <v>0</v>
      </c>
      <c r="O31" s="22">
        <f t="shared" si="10"/>
        <v>0</v>
      </c>
      <c r="P31" s="26">
        <f>$F31*Q$15</f>
        <v>0</v>
      </c>
      <c r="Q31" s="27">
        <f t="shared" si="11"/>
        <v>0</v>
      </c>
      <c r="R31" s="28">
        <f t="shared" si="12"/>
        <v>0</v>
      </c>
      <c r="S31" s="27">
        <f t="shared" si="13"/>
        <v>0</v>
      </c>
      <c r="T31" s="26">
        <f t="shared" si="14"/>
        <v>0</v>
      </c>
      <c r="U31" s="20">
        <f>$F31*V$15</f>
        <v>0</v>
      </c>
      <c r="V31" s="15">
        <f t="shared" si="15"/>
        <v>0</v>
      </c>
      <c r="W31" s="16">
        <f t="shared" si="16"/>
        <v>0</v>
      </c>
      <c r="X31" s="15">
        <f t="shared" si="17"/>
        <v>0</v>
      </c>
      <c r="Y31" s="20">
        <f t="shared" si="18"/>
        <v>0</v>
      </c>
      <c r="Z31" s="35">
        <f>$F31*AA$15</f>
        <v>0</v>
      </c>
      <c r="AA31" s="36">
        <f t="shared" si="19"/>
        <v>0</v>
      </c>
      <c r="AB31" s="37">
        <f t="shared" si="20"/>
        <v>0</v>
      </c>
      <c r="AC31" s="36">
        <f t="shared" si="21"/>
        <v>0</v>
      </c>
      <c r="AD31" s="35">
        <f t="shared" si="22"/>
        <v>0</v>
      </c>
      <c r="AE31" s="33">
        <f t="shared" si="23"/>
        <v>0.56964343598055089</v>
      </c>
      <c r="AF31" s="33">
        <f t="shared" si="24"/>
        <v>0.56964343598055089</v>
      </c>
      <c r="AG31" s="48">
        <f t="shared" si="25"/>
        <v>19900</v>
      </c>
    </row>
    <row r="32" spans="1:33" x14ac:dyDescent="0.4">
      <c r="A32" s="50">
        <v>2.92</v>
      </c>
      <c r="B32" s="13">
        <f>($A$2-A32)/A32</f>
        <v>7.8424657534246614E-2</v>
      </c>
      <c r="C32" s="13">
        <f>(A32-$B$2)/A32</f>
        <v>0.20445205479452055</v>
      </c>
      <c r="D32" s="14">
        <f t="shared" si="0"/>
        <v>0.38358458961474057</v>
      </c>
      <c r="E32" s="17">
        <f t="shared" si="1"/>
        <v>0.72276029055690072</v>
      </c>
      <c r="F32" s="30">
        <f t="shared" si="2"/>
        <v>0</v>
      </c>
      <c r="G32" s="31">
        <f t="shared" si="3"/>
        <v>0</v>
      </c>
      <c r="H32" s="32">
        <f t="shared" si="4"/>
        <v>0</v>
      </c>
      <c r="I32" s="31">
        <f t="shared" si="5"/>
        <v>0</v>
      </c>
      <c r="J32" s="33">
        <f t="shared" si="6"/>
        <v>0</v>
      </c>
      <c r="K32" s="22">
        <f>$F32*L$15</f>
        <v>0</v>
      </c>
      <c r="L32" s="23">
        <f t="shared" si="7"/>
        <v>0</v>
      </c>
      <c r="M32" s="24">
        <f t="shared" si="8"/>
        <v>0</v>
      </c>
      <c r="N32" s="23">
        <f t="shared" si="9"/>
        <v>0</v>
      </c>
      <c r="O32" s="22">
        <f t="shared" si="10"/>
        <v>0</v>
      </c>
      <c r="P32" s="26">
        <f>$F32*Q$15</f>
        <v>0</v>
      </c>
      <c r="Q32" s="27">
        <f t="shared" si="11"/>
        <v>0</v>
      </c>
      <c r="R32" s="28">
        <f t="shared" si="12"/>
        <v>0</v>
      </c>
      <c r="S32" s="27">
        <f t="shared" si="13"/>
        <v>0</v>
      </c>
      <c r="T32" s="26">
        <f t="shared" si="14"/>
        <v>0</v>
      </c>
      <c r="U32" s="20">
        <f>$F32*V$15</f>
        <v>0</v>
      </c>
      <c r="V32" s="15">
        <f t="shared" si="15"/>
        <v>0</v>
      </c>
      <c r="W32" s="16">
        <f t="shared" si="16"/>
        <v>0</v>
      </c>
      <c r="X32" s="15">
        <f t="shared" si="17"/>
        <v>0</v>
      </c>
      <c r="Y32" s="20">
        <f t="shared" si="18"/>
        <v>0</v>
      </c>
      <c r="Z32" s="35">
        <f>$F32*AA$15</f>
        <v>0</v>
      </c>
      <c r="AA32" s="36">
        <f t="shared" si="19"/>
        <v>0</v>
      </c>
      <c r="AB32" s="37">
        <f t="shared" si="20"/>
        <v>0</v>
      </c>
      <c r="AC32" s="36">
        <f t="shared" si="21"/>
        <v>0</v>
      </c>
      <c r="AD32" s="35">
        <f t="shared" si="22"/>
        <v>0</v>
      </c>
      <c r="AE32" s="33">
        <f t="shared" si="23"/>
        <v>0.51134003350083723</v>
      </c>
      <c r="AF32" s="33">
        <f t="shared" si="24"/>
        <v>0.51134003350083723</v>
      </c>
      <c r="AG32" s="48">
        <f t="shared" si="25"/>
        <v>17900</v>
      </c>
    </row>
    <row r="33" spans="1:33" x14ac:dyDescent="0.4">
      <c r="A33" s="50">
        <v>2.9</v>
      </c>
      <c r="B33" s="13">
        <f t="shared" ref="B33:B63" si="26">($A$2-A33)/A33</f>
        <v>8.5862068965517277E-2</v>
      </c>
      <c r="C33" s="13">
        <f t="shared" ref="C33:C36" si="27">(A33-$B$2)/A33</f>
        <v>0.19896551724137931</v>
      </c>
      <c r="D33" s="14">
        <f t="shared" ref="D33:D36" si="28">B33/C33</f>
        <v>0.4315424610051995</v>
      </c>
      <c r="E33" s="17">
        <f t="shared" ref="E33:E36" si="29">C33/(B33+C33)</f>
        <v>0.698547215496368</v>
      </c>
      <c r="F33" s="30">
        <f t="shared" si="2"/>
        <v>0</v>
      </c>
      <c r="G33" s="31">
        <f t="shared" si="3"/>
        <v>0</v>
      </c>
      <c r="H33" s="32">
        <f t="shared" si="4"/>
        <v>0</v>
      </c>
      <c r="I33" s="31">
        <f t="shared" ref="I33:I36" si="30">G33*$C33</f>
        <v>0</v>
      </c>
      <c r="J33" s="33">
        <f t="shared" si="6"/>
        <v>0</v>
      </c>
      <c r="K33" s="22">
        <f>$F33*L$15</f>
        <v>0</v>
      </c>
      <c r="L33" s="23">
        <f t="shared" si="7"/>
        <v>0</v>
      </c>
      <c r="M33" s="24">
        <f t="shared" si="8"/>
        <v>0</v>
      </c>
      <c r="N33" s="23">
        <f t="shared" ref="N33:N36" si="31">L33*$C33</f>
        <v>0</v>
      </c>
      <c r="O33" s="22">
        <f t="shared" si="10"/>
        <v>0</v>
      </c>
      <c r="P33" s="26">
        <f>$F33*Q$15</f>
        <v>0</v>
      </c>
      <c r="Q33" s="27">
        <f t="shared" si="11"/>
        <v>0</v>
      </c>
      <c r="R33" s="28">
        <f t="shared" si="12"/>
        <v>0</v>
      </c>
      <c r="S33" s="27">
        <f t="shared" ref="S33:S36" si="32">Q33*$C33</f>
        <v>0</v>
      </c>
      <c r="T33" s="26">
        <f t="shared" si="14"/>
        <v>0</v>
      </c>
      <c r="U33" s="20">
        <f>$F33*V$15</f>
        <v>0</v>
      </c>
      <c r="V33" s="15">
        <f t="shared" si="15"/>
        <v>0</v>
      </c>
      <c r="W33" s="16">
        <f t="shared" si="16"/>
        <v>0</v>
      </c>
      <c r="X33" s="15">
        <f t="shared" ref="X33:X36" si="33">V33*$C33</f>
        <v>0</v>
      </c>
      <c r="Y33" s="20">
        <f t="shared" si="18"/>
        <v>0</v>
      </c>
      <c r="Z33" s="35">
        <f>$F33*AA$15</f>
        <v>0</v>
      </c>
      <c r="AA33" s="36">
        <f t="shared" si="19"/>
        <v>0</v>
      </c>
      <c r="AB33" s="37">
        <f t="shared" si="20"/>
        <v>0</v>
      </c>
      <c r="AC33" s="36">
        <f t="shared" ref="AC33:AC36" si="34">AA33*$C33</f>
        <v>0</v>
      </c>
      <c r="AD33" s="35">
        <f t="shared" si="22"/>
        <v>0</v>
      </c>
      <c r="AE33" s="33">
        <f t="shared" ref="AE33:AE36" si="35">$C$7-+($C$7-$B$7)*(D33-$C$6)/($B$6-$C$6)</f>
        <v>0.4489948006932406</v>
      </c>
      <c r="AF33" s="33">
        <f t="shared" si="24"/>
        <v>0.4489948006932406</v>
      </c>
      <c r="AG33" s="48">
        <f t="shared" si="25"/>
        <v>15700</v>
      </c>
    </row>
    <row r="34" spans="1:33" x14ac:dyDescent="0.4">
      <c r="A34" s="50">
        <v>2.88</v>
      </c>
      <c r="B34" s="13">
        <f t="shared" si="26"/>
        <v>9.3402777777777821E-2</v>
      </c>
      <c r="C34" s="13">
        <f t="shared" si="27"/>
        <v>0.19340277777777776</v>
      </c>
      <c r="D34" s="14">
        <f t="shared" si="28"/>
        <v>0.48294434470377046</v>
      </c>
      <c r="E34" s="17">
        <f t="shared" si="29"/>
        <v>0.67433414043583517</v>
      </c>
      <c r="F34" s="30">
        <f t="shared" si="2"/>
        <v>0</v>
      </c>
      <c r="G34" s="31">
        <f t="shared" si="3"/>
        <v>0</v>
      </c>
      <c r="H34" s="32">
        <f t="shared" si="4"/>
        <v>0</v>
      </c>
      <c r="I34" s="31">
        <f t="shared" si="30"/>
        <v>0</v>
      </c>
      <c r="J34" s="33">
        <f t="shared" si="6"/>
        <v>0</v>
      </c>
      <c r="K34" s="22">
        <f>$F34*L$15</f>
        <v>0</v>
      </c>
      <c r="L34" s="23">
        <f t="shared" si="7"/>
        <v>0</v>
      </c>
      <c r="M34" s="24">
        <f t="shared" si="8"/>
        <v>0</v>
      </c>
      <c r="N34" s="23">
        <f t="shared" si="31"/>
        <v>0</v>
      </c>
      <c r="O34" s="22">
        <f t="shared" si="10"/>
        <v>0</v>
      </c>
      <c r="P34" s="26">
        <f>$F34*Q$15</f>
        <v>0</v>
      </c>
      <c r="Q34" s="27">
        <f t="shared" si="11"/>
        <v>0</v>
      </c>
      <c r="R34" s="28">
        <f t="shared" si="12"/>
        <v>0</v>
      </c>
      <c r="S34" s="27">
        <f t="shared" si="32"/>
        <v>0</v>
      </c>
      <c r="T34" s="26">
        <f t="shared" si="14"/>
        <v>0</v>
      </c>
      <c r="U34" s="20">
        <f>$F34*V$15</f>
        <v>0</v>
      </c>
      <c r="V34" s="15">
        <f t="shared" si="15"/>
        <v>0</v>
      </c>
      <c r="W34" s="16">
        <f t="shared" si="16"/>
        <v>0</v>
      </c>
      <c r="X34" s="15">
        <f t="shared" si="33"/>
        <v>0</v>
      </c>
      <c r="Y34" s="20">
        <f t="shared" si="18"/>
        <v>0</v>
      </c>
      <c r="Z34" s="35">
        <f>$F34*AA$15</f>
        <v>0</v>
      </c>
      <c r="AA34" s="36">
        <f t="shared" si="19"/>
        <v>0</v>
      </c>
      <c r="AB34" s="37">
        <f t="shared" si="20"/>
        <v>0</v>
      </c>
      <c r="AC34" s="36">
        <f t="shared" si="34"/>
        <v>0</v>
      </c>
      <c r="AD34" s="35">
        <f t="shared" si="22"/>
        <v>0</v>
      </c>
      <c r="AE34" s="33">
        <f t="shared" si="35"/>
        <v>0.38217235188509835</v>
      </c>
      <c r="AF34" s="33">
        <f t="shared" si="24"/>
        <v>0.38217235188509835</v>
      </c>
      <c r="AG34" s="48">
        <f t="shared" si="25"/>
        <v>13300</v>
      </c>
    </row>
    <row r="35" spans="1:33" x14ac:dyDescent="0.4">
      <c r="A35" s="50">
        <v>2.86</v>
      </c>
      <c r="B35" s="13">
        <f t="shared" si="26"/>
        <v>0.10104895104895111</v>
      </c>
      <c r="C35" s="13">
        <f t="shared" si="27"/>
        <v>0.18776223776223774</v>
      </c>
      <c r="D35" s="14">
        <f t="shared" si="28"/>
        <v>0.5381750465549352</v>
      </c>
      <c r="E35" s="17">
        <f t="shared" si="29"/>
        <v>0.65012106537530256</v>
      </c>
      <c r="F35" s="30">
        <f t="shared" si="2"/>
        <v>0</v>
      </c>
      <c r="G35" s="31">
        <f t="shared" si="3"/>
        <v>0</v>
      </c>
      <c r="H35" s="32">
        <f t="shared" si="4"/>
        <v>0</v>
      </c>
      <c r="I35" s="31">
        <f t="shared" si="30"/>
        <v>0</v>
      </c>
      <c r="J35" s="33">
        <f t="shared" si="6"/>
        <v>0</v>
      </c>
      <c r="K35" s="22">
        <f>$F35*L$15</f>
        <v>0</v>
      </c>
      <c r="L35" s="23">
        <f t="shared" si="7"/>
        <v>0</v>
      </c>
      <c r="M35" s="24">
        <f t="shared" si="8"/>
        <v>0</v>
      </c>
      <c r="N35" s="23">
        <f t="shared" si="31"/>
        <v>0</v>
      </c>
      <c r="O35" s="22">
        <f t="shared" si="10"/>
        <v>0</v>
      </c>
      <c r="P35" s="26">
        <f>$F35*Q$15</f>
        <v>0</v>
      </c>
      <c r="Q35" s="27">
        <f t="shared" si="11"/>
        <v>0</v>
      </c>
      <c r="R35" s="28">
        <f t="shared" si="12"/>
        <v>0</v>
      </c>
      <c r="S35" s="27">
        <f t="shared" si="32"/>
        <v>0</v>
      </c>
      <c r="T35" s="26">
        <f t="shared" si="14"/>
        <v>0</v>
      </c>
      <c r="U35" s="20">
        <f>$F35*V$15</f>
        <v>0</v>
      </c>
      <c r="V35" s="15">
        <f t="shared" si="15"/>
        <v>0</v>
      </c>
      <c r="W35" s="16">
        <f t="shared" si="16"/>
        <v>0</v>
      </c>
      <c r="X35" s="15">
        <f t="shared" si="33"/>
        <v>0</v>
      </c>
      <c r="Y35" s="20">
        <f t="shared" si="18"/>
        <v>0</v>
      </c>
      <c r="Z35" s="35">
        <f>$F35*AA$15</f>
        <v>0</v>
      </c>
      <c r="AA35" s="36">
        <f t="shared" si="19"/>
        <v>0</v>
      </c>
      <c r="AB35" s="37">
        <f t="shared" si="20"/>
        <v>0</v>
      </c>
      <c r="AC35" s="36">
        <f t="shared" si="34"/>
        <v>0</v>
      </c>
      <c r="AD35" s="35">
        <f t="shared" si="22"/>
        <v>0</v>
      </c>
      <c r="AE35" s="33">
        <f t="shared" si="35"/>
        <v>0.31037243947858417</v>
      </c>
      <c r="AF35" s="33">
        <f t="shared" si="24"/>
        <v>0.31037243947858417</v>
      </c>
      <c r="AG35" s="48">
        <f t="shared" si="25"/>
        <v>10800</v>
      </c>
    </row>
    <row r="36" spans="1:33" x14ac:dyDescent="0.4">
      <c r="A36" s="50">
        <v>2.84</v>
      </c>
      <c r="B36" s="13">
        <f t="shared" si="26"/>
        <v>0.10880281690140851</v>
      </c>
      <c r="C36" s="13">
        <f t="shared" si="27"/>
        <v>0.18204225352112674</v>
      </c>
      <c r="D36" s="14">
        <f t="shared" si="28"/>
        <v>0.59767891682785346</v>
      </c>
      <c r="E36" s="17">
        <f t="shared" si="29"/>
        <v>0.62590799031476974</v>
      </c>
      <c r="F36" s="30">
        <f t="shared" si="2"/>
        <v>0</v>
      </c>
      <c r="G36" s="31">
        <f t="shared" si="3"/>
        <v>0</v>
      </c>
      <c r="H36" s="32">
        <f t="shared" si="4"/>
        <v>0</v>
      </c>
      <c r="I36" s="31">
        <f t="shared" si="30"/>
        <v>0</v>
      </c>
      <c r="J36" s="33">
        <f t="shared" si="6"/>
        <v>0</v>
      </c>
      <c r="K36" s="22">
        <f>$F36*L$15</f>
        <v>0</v>
      </c>
      <c r="L36" s="23">
        <f t="shared" si="7"/>
        <v>0</v>
      </c>
      <c r="M36" s="24">
        <f t="shared" si="8"/>
        <v>0</v>
      </c>
      <c r="N36" s="23">
        <f t="shared" si="31"/>
        <v>0</v>
      </c>
      <c r="O36" s="22">
        <f t="shared" si="10"/>
        <v>0</v>
      </c>
      <c r="P36" s="26">
        <f>$F36*Q$15</f>
        <v>0</v>
      </c>
      <c r="Q36" s="27">
        <f t="shared" si="11"/>
        <v>0</v>
      </c>
      <c r="R36" s="28">
        <f t="shared" si="12"/>
        <v>0</v>
      </c>
      <c r="S36" s="27">
        <f t="shared" si="32"/>
        <v>0</v>
      </c>
      <c r="T36" s="26">
        <f t="shared" si="14"/>
        <v>0</v>
      </c>
      <c r="U36" s="20">
        <f>$F36*V$15</f>
        <v>0</v>
      </c>
      <c r="V36" s="15">
        <f t="shared" si="15"/>
        <v>0</v>
      </c>
      <c r="W36" s="16">
        <f t="shared" si="16"/>
        <v>0</v>
      </c>
      <c r="X36" s="15">
        <f t="shared" si="33"/>
        <v>0</v>
      </c>
      <c r="Y36" s="20">
        <f t="shared" si="18"/>
        <v>0</v>
      </c>
      <c r="Z36" s="35">
        <f>$F36*AA$15</f>
        <v>0</v>
      </c>
      <c r="AA36" s="36">
        <f t="shared" si="19"/>
        <v>0</v>
      </c>
      <c r="AB36" s="37">
        <f t="shared" si="20"/>
        <v>0</v>
      </c>
      <c r="AC36" s="36">
        <f t="shared" si="34"/>
        <v>0</v>
      </c>
      <c r="AD36" s="35">
        <f t="shared" si="22"/>
        <v>0</v>
      </c>
      <c r="AE36" s="33">
        <f t="shared" si="35"/>
        <v>0.23301740812379035</v>
      </c>
      <c r="AF36" s="33">
        <f t="shared" si="24"/>
        <v>0.23301740812379035</v>
      </c>
      <c r="AG36" s="48">
        <f t="shared" si="25"/>
        <v>8100</v>
      </c>
    </row>
    <row r="37" spans="1:33" x14ac:dyDescent="0.4">
      <c r="A37" s="50">
        <v>2.82</v>
      </c>
      <c r="B37" s="13">
        <f t="shared" si="26"/>
        <v>0.11666666666666674</v>
      </c>
      <c r="C37" s="13">
        <f t="shared" ref="C37:C63" si="36">(A37-$B$2)/A37</f>
        <v>0.17624113475177303</v>
      </c>
      <c r="D37" s="14">
        <f t="shared" ref="D37:D63" si="37">B37/C37</f>
        <v>0.66197183098591594</v>
      </c>
      <c r="E37" s="17">
        <f t="shared" ref="E37:E63" si="38">C37/(B37+C37)</f>
        <v>0.60169491525423713</v>
      </c>
      <c r="F37" s="30">
        <f t="shared" si="2"/>
        <v>0</v>
      </c>
      <c r="G37" s="31">
        <f t="shared" si="3"/>
        <v>0</v>
      </c>
      <c r="H37" s="32">
        <f t="shared" si="4"/>
        <v>0</v>
      </c>
      <c r="I37" s="31">
        <f t="shared" ref="I37:I63" si="39">G37*$C37</f>
        <v>0</v>
      </c>
      <c r="J37" s="33">
        <f t="shared" si="6"/>
        <v>0</v>
      </c>
      <c r="K37" s="22">
        <f>$F37*L$15</f>
        <v>0</v>
      </c>
      <c r="L37" s="23">
        <f t="shared" si="7"/>
        <v>0</v>
      </c>
      <c r="M37" s="24">
        <f t="shared" si="8"/>
        <v>0</v>
      </c>
      <c r="N37" s="23">
        <f t="shared" ref="N37:N63" si="40">L37*$C37</f>
        <v>0</v>
      </c>
      <c r="O37" s="22">
        <f t="shared" si="10"/>
        <v>0</v>
      </c>
      <c r="P37" s="26">
        <f>$F37*Q$15</f>
        <v>0</v>
      </c>
      <c r="Q37" s="27">
        <f t="shared" si="11"/>
        <v>0</v>
      </c>
      <c r="R37" s="28">
        <f t="shared" si="12"/>
        <v>0</v>
      </c>
      <c r="S37" s="27">
        <f t="shared" ref="S37:S63" si="41">Q37*$C37</f>
        <v>0</v>
      </c>
      <c r="T37" s="26">
        <f t="shared" si="14"/>
        <v>0</v>
      </c>
      <c r="U37" s="20">
        <f>$F37*V$15</f>
        <v>0</v>
      </c>
      <c r="V37" s="15">
        <f t="shared" si="15"/>
        <v>0</v>
      </c>
      <c r="W37" s="16">
        <f t="shared" si="16"/>
        <v>0</v>
      </c>
      <c r="X37" s="15">
        <f t="shared" ref="X37:X63" si="42">V37*$C37</f>
        <v>0</v>
      </c>
      <c r="Y37" s="20">
        <f t="shared" si="18"/>
        <v>0</v>
      </c>
      <c r="Z37" s="35">
        <f>$F37*AA$15</f>
        <v>0</v>
      </c>
      <c r="AA37" s="36">
        <f t="shared" si="19"/>
        <v>0</v>
      </c>
      <c r="AB37" s="37">
        <f t="shared" si="20"/>
        <v>0</v>
      </c>
      <c r="AC37" s="36">
        <f t="shared" ref="AC37:AC63" si="43">AA37*$C37</f>
        <v>0</v>
      </c>
      <c r="AD37" s="35">
        <f t="shared" si="22"/>
        <v>0</v>
      </c>
      <c r="AE37" s="33">
        <f t="shared" ref="AE37:AE63" si="44">$C$7-+($C$7-$B$7)*(D37-$C$6)/($B$6-$C$6)</f>
        <v>0.14943661971830913</v>
      </c>
      <c r="AF37" s="33">
        <f t="shared" ref="AF37:AF63" si="45">IF(D37&gt;$B$6,0,IF(D37&gt;$C$6,AE37,IF(D37&gt;0,$C$7,1)))</f>
        <v>0.14943661971830913</v>
      </c>
      <c r="AG37" s="48">
        <f t="shared" si="25"/>
        <v>5200</v>
      </c>
    </row>
    <row r="38" spans="1:33" x14ac:dyDescent="0.4">
      <c r="A38" s="50">
        <v>2.8</v>
      </c>
      <c r="B38" s="13">
        <f t="shared" si="26"/>
        <v>0.12464285714285722</v>
      </c>
      <c r="C38" s="13">
        <f t="shared" si="36"/>
        <v>0.17035714285714282</v>
      </c>
      <c r="D38" s="14">
        <f t="shared" si="37"/>
        <v>0.73165618448637382</v>
      </c>
      <c r="E38" s="17">
        <f t="shared" si="38"/>
        <v>0.57748184019370441</v>
      </c>
      <c r="F38" s="30">
        <f t="shared" si="2"/>
        <v>0</v>
      </c>
      <c r="G38" s="31">
        <f t="shared" si="3"/>
        <v>0</v>
      </c>
      <c r="H38" s="32">
        <f t="shared" si="4"/>
        <v>0</v>
      </c>
      <c r="I38" s="31">
        <f t="shared" si="39"/>
        <v>0</v>
      </c>
      <c r="J38" s="33">
        <f t="shared" si="6"/>
        <v>0</v>
      </c>
      <c r="K38" s="22">
        <f>$F38*L$15</f>
        <v>0</v>
      </c>
      <c r="L38" s="23">
        <f t="shared" si="7"/>
        <v>0</v>
      </c>
      <c r="M38" s="24">
        <f t="shared" si="8"/>
        <v>0</v>
      </c>
      <c r="N38" s="23">
        <f t="shared" si="40"/>
        <v>0</v>
      </c>
      <c r="O38" s="22">
        <f t="shared" si="10"/>
        <v>0</v>
      </c>
      <c r="P38" s="26">
        <f>$F38*Q$15</f>
        <v>0</v>
      </c>
      <c r="Q38" s="27">
        <f t="shared" si="11"/>
        <v>0</v>
      </c>
      <c r="R38" s="28">
        <f t="shared" si="12"/>
        <v>0</v>
      </c>
      <c r="S38" s="27">
        <f t="shared" si="41"/>
        <v>0</v>
      </c>
      <c r="T38" s="26">
        <f t="shared" si="14"/>
        <v>0</v>
      </c>
      <c r="U38" s="20">
        <f>$F38*V$15</f>
        <v>0</v>
      </c>
      <c r="V38" s="15">
        <f t="shared" si="15"/>
        <v>0</v>
      </c>
      <c r="W38" s="16">
        <f t="shared" si="16"/>
        <v>0</v>
      </c>
      <c r="X38" s="15">
        <f t="shared" si="42"/>
        <v>0</v>
      </c>
      <c r="Y38" s="20">
        <f t="shared" si="18"/>
        <v>0</v>
      </c>
      <c r="Z38" s="35">
        <f>$F38*AA$15</f>
        <v>0</v>
      </c>
      <c r="AA38" s="36">
        <f t="shared" si="19"/>
        <v>0</v>
      </c>
      <c r="AB38" s="37">
        <f t="shared" si="20"/>
        <v>0</v>
      </c>
      <c r="AC38" s="36">
        <f t="shared" si="43"/>
        <v>0</v>
      </c>
      <c r="AD38" s="35">
        <f t="shared" si="22"/>
        <v>0</v>
      </c>
      <c r="AE38" s="33">
        <f t="shared" si="44"/>
        <v>5.8846960167713847E-2</v>
      </c>
      <c r="AF38" s="33">
        <f t="shared" si="45"/>
        <v>0</v>
      </c>
      <c r="AG38" s="48">
        <f t="shared" si="25"/>
        <v>0</v>
      </c>
    </row>
    <row r="39" spans="1:33" x14ac:dyDescent="0.4">
      <c r="A39" s="50">
        <v>2.78</v>
      </c>
      <c r="B39" s="13">
        <f t="shared" si="26"/>
        <v>0.13273381294964037</v>
      </c>
      <c r="C39" s="13">
        <f t="shared" si="36"/>
        <v>0.16438848920863305</v>
      </c>
      <c r="D39" s="14">
        <f t="shared" si="37"/>
        <v>0.80743982494529609</v>
      </c>
      <c r="E39" s="17">
        <f t="shared" si="38"/>
        <v>0.55326876513317169</v>
      </c>
      <c r="F39" s="30">
        <f t="shared" si="2"/>
        <v>0</v>
      </c>
      <c r="G39" s="31">
        <f t="shared" si="3"/>
        <v>0</v>
      </c>
      <c r="H39" s="32">
        <f t="shared" si="4"/>
        <v>0</v>
      </c>
      <c r="I39" s="31">
        <f t="shared" si="39"/>
        <v>0</v>
      </c>
      <c r="J39" s="33">
        <f t="shared" si="6"/>
        <v>0</v>
      </c>
      <c r="K39" s="22">
        <f>$F39*L$15</f>
        <v>0</v>
      </c>
      <c r="L39" s="23">
        <f t="shared" si="7"/>
        <v>0</v>
      </c>
      <c r="M39" s="24">
        <f t="shared" si="8"/>
        <v>0</v>
      </c>
      <c r="N39" s="23">
        <f t="shared" si="40"/>
        <v>0</v>
      </c>
      <c r="O39" s="22">
        <f t="shared" si="10"/>
        <v>0</v>
      </c>
      <c r="P39" s="26">
        <f>$F39*Q$15</f>
        <v>0</v>
      </c>
      <c r="Q39" s="27">
        <f t="shared" si="11"/>
        <v>0</v>
      </c>
      <c r="R39" s="28">
        <f t="shared" si="12"/>
        <v>0</v>
      </c>
      <c r="S39" s="27">
        <f t="shared" si="41"/>
        <v>0</v>
      </c>
      <c r="T39" s="26">
        <f t="shared" si="14"/>
        <v>0</v>
      </c>
      <c r="U39" s="20">
        <f>$F39*V$15</f>
        <v>0</v>
      </c>
      <c r="V39" s="15">
        <f t="shared" si="15"/>
        <v>0</v>
      </c>
      <c r="W39" s="16">
        <f t="shared" si="16"/>
        <v>0</v>
      </c>
      <c r="X39" s="15">
        <f t="shared" si="42"/>
        <v>0</v>
      </c>
      <c r="Y39" s="20">
        <f t="shared" si="18"/>
        <v>0</v>
      </c>
      <c r="Z39" s="35">
        <f>$F39*AA$15</f>
        <v>0</v>
      </c>
      <c r="AA39" s="36">
        <f t="shared" si="19"/>
        <v>0</v>
      </c>
      <c r="AB39" s="37">
        <f t="shared" si="20"/>
        <v>0</v>
      </c>
      <c r="AC39" s="36">
        <f t="shared" si="43"/>
        <v>0</v>
      </c>
      <c r="AD39" s="35">
        <f t="shared" si="22"/>
        <v>0</v>
      </c>
      <c r="AE39" s="33">
        <f t="shared" si="44"/>
        <v>-3.9671772428885088E-2</v>
      </c>
      <c r="AF39" s="33">
        <f t="shared" si="45"/>
        <v>0</v>
      </c>
      <c r="AG39" s="48">
        <f t="shared" si="25"/>
        <v>0</v>
      </c>
    </row>
    <row r="40" spans="1:33" x14ac:dyDescent="0.4">
      <c r="A40" s="50">
        <v>2.76</v>
      </c>
      <c r="B40" s="13">
        <f t="shared" si="26"/>
        <v>0.14094202898550734</v>
      </c>
      <c r="C40" s="13">
        <f t="shared" si="36"/>
        <v>0.1583333333333333</v>
      </c>
      <c r="D40" s="14">
        <f t="shared" si="37"/>
        <v>0.89016018306636235</v>
      </c>
      <c r="E40" s="17">
        <f t="shared" si="38"/>
        <v>0.52905569007263897</v>
      </c>
      <c r="F40" s="30">
        <f t="shared" si="2"/>
        <v>4.4473007712082804E-2</v>
      </c>
      <c r="G40" s="31">
        <f t="shared" si="3"/>
        <v>4892.0308483291083</v>
      </c>
      <c r="H40" s="32">
        <f t="shared" si="4"/>
        <v>1700</v>
      </c>
      <c r="I40" s="31">
        <f t="shared" si="39"/>
        <v>774.57155098544195</v>
      </c>
      <c r="J40" s="33">
        <f t="shared" si="6"/>
        <v>3.8728577549272097E-3</v>
      </c>
      <c r="K40" s="22">
        <f>$F40*L$15</f>
        <v>3.3354755784062107E-2</v>
      </c>
      <c r="L40" s="23">
        <f t="shared" si="7"/>
        <v>3669.0231362468317</v>
      </c>
      <c r="M40" s="24">
        <f t="shared" si="8"/>
        <v>1300</v>
      </c>
      <c r="N40" s="23">
        <f t="shared" si="40"/>
        <v>580.92866323908152</v>
      </c>
      <c r="O40" s="22">
        <f t="shared" si="10"/>
        <v>2.9046433161954077E-3</v>
      </c>
      <c r="P40" s="26">
        <f>$F40*Q$15</f>
        <v>2.979691516709548E-2</v>
      </c>
      <c r="Q40" s="27">
        <f t="shared" si="11"/>
        <v>3277.660668380503</v>
      </c>
      <c r="R40" s="28">
        <f t="shared" si="12"/>
        <v>1200</v>
      </c>
      <c r="S40" s="27">
        <f t="shared" si="41"/>
        <v>518.96293916024615</v>
      </c>
      <c r="T40" s="26">
        <f t="shared" si="14"/>
        <v>2.5948146958012308E-3</v>
      </c>
      <c r="U40" s="20">
        <f>$F40*V$15</f>
        <v>2.2236503856041402E-2</v>
      </c>
      <c r="V40" s="15">
        <f t="shared" si="15"/>
        <v>2446.0154241645541</v>
      </c>
      <c r="W40" s="16">
        <f t="shared" si="16"/>
        <v>900</v>
      </c>
      <c r="X40" s="15">
        <f t="shared" si="42"/>
        <v>387.28577549272097</v>
      </c>
      <c r="Y40" s="20">
        <f t="shared" si="18"/>
        <v>1.9364288774636048E-3</v>
      </c>
      <c r="Z40" s="35">
        <f>$F40*AA$15</f>
        <v>1.4676092544987326E-2</v>
      </c>
      <c r="AA40" s="36">
        <f t="shared" si="19"/>
        <v>1614.3701799486059</v>
      </c>
      <c r="AB40" s="37">
        <f t="shared" si="20"/>
        <v>600</v>
      </c>
      <c r="AC40" s="36">
        <f t="shared" si="43"/>
        <v>255.60861182519588</v>
      </c>
      <c r="AD40" s="35">
        <f t="shared" si="22"/>
        <v>1.2780430591259795E-3</v>
      </c>
      <c r="AE40" s="33">
        <f t="shared" si="44"/>
        <v>-0.14720823798627125</v>
      </c>
      <c r="AF40" s="33">
        <f t="shared" si="45"/>
        <v>0</v>
      </c>
      <c r="AG40" s="48">
        <f t="shared" si="25"/>
        <v>0</v>
      </c>
    </row>
    <row r="41" spans="1:33" x14ac:dyDescent="0.4">
      <c r="A41" s="50">
        <v>2.74</v>
      </c>
      <c r="B41" s="13">
        <f t="shared" si="26"/>
        <v>0.14927007299270065</v>
      </c>
      <c r="C41" s="13">
        <f t="shared" si="36"/>
        <v>0.1521897810218979</v>
      </c>
      <c r="D41" s="14">
        <f t="shared" si="37"/>
        <v>0.98081534772182144</v>
      </c>
      <c r="E41" s="17">
        <f t="shared" si="38"/>
        <v>0.50484261501210681</v>
      </c>
      <c r="F41" s="30">
        <f t="shared" si="2"/>
        <v>9.1198044009779558E-2</v>
      </c>
      <c r="G41" s="31">
        <f t="shared" si="3"/>
        <v>10031.784841075751</v>
      </c>
      <c r="H41" s="32">
        <f t="shared" si="4"/>
        <v>3600</v>
      </c>
      <c r="I41" s="31">
        <f t="shared" si="39"/>
        <v>1526.7351382221132</v>
      </c>
      <c r="J41" s="33">
        <f t="shared" si="6"/>
        <v>7.6336756911105658E-3</v>
      </c>
      <c r="K41" s="22">
        <f>$F41*L$15</f>
        <v>6.8398533007334672E-2</v>
      </c>
      <c r="L41" s="23">
        <f t="shared" si="7"/>
        <v>7523.8386308068139</v>
      </c>
      <c r="M41" s="24">
        <f t="shared" si="8"/>
        <v>2700</v>
      </c>
      <c r="N41" s="23">
        <f t="shared" si="40"/>
        <v>1145.0513536665851</v>
      </c>
      <c r="O41" s="22">
        <f t="shared" si="10"/>
        <v>5.7252567683329257E-3</v>
      </c>
      <c r="P41" s="26">
        <f>$F41*Q$15</f>
        <v>6.1102689486552307E-2</v>
      </c>
      <c r="Q41" s="27">
        <f t="shared" si="11"/>
        <v>6721.2958435207538</v>
      </c>
      <c r="R41" s="28">
        <f t="shared" si="12"/>
        <v>2400</v>
      </c>
      <c r="S41" s="27">
        <f t="shared" si="41"/>
        <v>1022.912542608816</v>
      </c>
      <c r="T41" s="26">
        <f t="shared" si="14"/>
        <v>5.11456271304408E-3</v>
      </c>
      <c r="U41" s="20">
        <f>$F41*V$15</f>
        <v>4.5599022004889779E-2</v>
      </c>
      <c r="V41" s="15">
        <f t="shared" si="15"/>
        <v>5015.8924205378753</v>
      </c>
      <c r="W41" s="16">
        <f t="shared" si="16"/>
        <v>1800</v>
      </c>
      <c r="X41" s="15">
        <f t="shared" si="42"/>
        <v>763.36756911105658</v>
      </c>
      <c r="Y41" s="20">
        <f t="shared" si="18"/>
        <v>3.8168378455552829E-3</v>
      </c>
      <c r="Z41" s="35">
        <f>$F41*AA$15</f>
        <v>3.0095354523227254E-2</v>
      </c>
      <c r="AA41" s="36">
        <f t="shared" si="19"/>
        <v>3310.4889975549982</v>
      </c>
      <c r="AB41" s="37">
        <f t="shared" si="20"/>
        <v>1200</v>
      </c>
      <c r="AC41" s="36">
        <f t="shared" si="43"/>
        <v>503.82259561329744</v>
      </c>
      <c r="AD41" s="35">
        <f t="shared" si="22"/>
        <v>2.5191129780664872E-3</v>
      </c>
      <c r="AE41" s="33">
        <f t="shared" si="44"/>
        <v>-0.26505995203836807</v>
      </c>
      <c r="AF41" s="33">
        <f t="shared" si="45"/>
        <v>0</v>
      </c>
      <c r="AG41" s="48">
        <f t="shared" si="25"/>
        <v>0</v>
      </c>
    </row>
    <row r="42" spans="1:33" x14ac:dyDescent="0.4">
      <c r="A42" s="50">
        <v>2.72</v>
      </c>
      <c r="B42" s="13">
        <f t="shared" si="26"/>
        <v>0.15772058823529403</v>
      </c>
      <c r="C42" s="13">
        <f t="shared" si="36"/>
        <v>0.14595588235294127</v>
      </c>
      <c r="D42" s="14">
        <f t="shared" si="37"/>
        <v>1.0806045340050365</v>
      </c>
      <c r="E42" s="17">
        <f t="shared" si="38"/>
        <v>0.48062953995157409</v>
      </c>
      <c r="F42" s="30">
        <f t="shared" si="2"/>
        <v>0.13356643356643322</v>
      </c>
      <c r="G42" s="31">
        <f t="shared" si="3"/>
        <v>14692.307692307653</v>
      </c>
      <c r="H42" s="32">
        <f t="shared" si="4"/>
        <v>5400</v>
      </c>
      <c r="I42" s="31">
        <f t="shared" si="39"/>
        <v>2144.4287330316697</v>
      </c>
      <c r="J42" s="33">
        <f t="shared" si="6"/>
        <v>1.0722143665158348E-2</v>
      </c>
      <c r="K42" s="22">
        <f>$F42*L$15</f>
        <v>0.10017482517482491</v>
      </c>
      <c r="L42" s="23">
        <f t="shared" si="7"/>
        <v>11019.23076923074</v>
      </c>
      <c r="M42" s="24">
        <f t="shared" si="8"/>
        <v>4000</v>
      </c>
      <c r="N42" s="23">
        <f t="shared" si="40"/>
        <v>1608.3215497737524</v>
      </c>
      <c r="O42" s="22">
        <f t="shared" si="10"/>
        <v>8.0416077488687614E-3</v>
      </c>
      <c r="P42" s="26">
        <f>$F42*Q$15</f>
        <v>8.948951048951026E-2</v>
      </c>
      <c r="Q42" s="27">
        <f t="shared" si="11"/>
        <v>9843.8461538461288</v>
      </c>
      <c r="R42" s="28">
        <f t="shared" si="12"/>
        <v>3600</v>
      </c>
      <c r="S42" s="27">
        <f t="shared" si="41"/>
        <v>1436.7672511312189</v>
      </c>
      <c r="T42" s="26">
        <f t="shared" si="14"/>
        <v>7.1838362556560943E-3</v>
      </c>
      <c r="U42" s="20">
        <f>$F42*V$15</f>
        <v>6.6783216783216609E-2</v>
      </c>
      <c r="V42" s="15">
        <f t="shared" si="15"/>
        <v>7346.1538461538266</v>
      </c>
      <c r="W42" s="16">
        <f t="shared" si="16"/>
        <v>2700</v>
      </c>
      <c r="X42" s="15">
        <f t="shared" si="42"/>
        <v>1072.2143665158349</v>
      </c>
      <c r="Y42" s="20">
        <f t="shared" si="18"/>
        <v>5.3610718325791742E-3</v>
      </c>
      <c r="Z42" s="35">
        <f>$F42*AA$15</f>
        <v>4.4076923076922965E-2</v>
      </c>
      <c r="AA42" s="36">
        <f t="shared" si="19"/>
        <v>4848.4615384615263</v>
      </c>
      <c r="AB42" s="37">
        <f t="shared" si="20"/>
        <v>1800</v>
      </c>
      <c r="AC42" s="36">
        <f t="shared" si="43"/>
        <v>707.66148190045112</v>
      </c>
      <c r="AD42" s="35">
        <f t="shared" si="22"/>
        <v>3.5383074095022555E-3</v>
      </c>
      <c r="AE42" s="33">
        <f t="shared" si="44"/>
        <v>-0.39478589420654786</v>
      </c>
      <c r="AF42" s="33">
        <f t="shared" si="45"/>
        <v>0</v>
      </c>
      <c r="AG42" s="48">
        <f t="shared" si="25"/>
        <v>0</v>
      </c>
    </row>
    <row r="43" spans="1:33" x14ac:dyDescent="0.4">
      <c r="A43" s="50">
        <v>2.7</v>
      </c>
      <c r="B43" s="13">
        <f t="shared" si="26"/>
        <v>0.16629629629629622</v>
      </c>
      <c r="C43" s="13">
        <f t="shared" si="36"/>
        <v>0.13962962962962971</v>
      </c>
      <c r="D43" s="14">
        <f t="shared" si="37"/>
        <v>1.1909814323607415</v>
      </c>
      <c r="E43" s="17">
        <f t="shared" si="38"/>
        <v>0.45641646489104143</v>
      </c>
      <c r="F43" s="30">
        <f t="shared" si="2"/>
        <v>0.17216035634743845</v>
      </c>
      <c r="G43" s="31">
        <f t="shared" si="3"/>
        <v>18937.639198218229</v>
      </c>
      <c r="H43" s="32">
        <f t="shared" si="4"/>
        <v>7000</v>
      </c>
      <c r="I43" s="31">
        <f t="shared" si="39"/>
        <v>2644.2555473067691</v>
      </c>
      <c r="J43" s="33">
        <f t="shared" si="6"/>
        <v>1.3221277736533846E-2</v>
      </c>
      <c r="K43" s="22">
        <f>$F43*L$15</f>
        <v>0.12912026726057885</v>
      </c>
      <c r="L43" s="23">
        <f t="shared" si="7"/>
        <v>14203.229398663672</v>
      </c>
      <c r="M43" s="24">
        <f t="shared" si="8"/>
        <v>5200</v>
      </c>
      <c r="N43" s="23">
        <f t="shared" si="40"/>
        <v>1983.191660480077</v>
      </c>
      <c r="O43" s="22">
        <f t="shared" si="10"/>
        <v>9.915958302400385E-3</v>
      </c>
      <c r="P43" s="26">
        <f>$F43*Q$15</f>
        <v>0.11534743875278378</v>
      </c>
      <c r="Q43" s="27">
        <f t="shared" si="11"/>
        <v>12688.218262806215</v>
      </c>
      <c r="R43" s="28">
        <f t="shared" si="12"/>
        <v>4700</v>
      </c>
      <c r="S43" s="27">
        <f t="shared" si="41"/>
        <v>1771.6512166955356</v>
      </c>
      <c r="T43" s="26">
        <f t="shared" si="14"/>
        <v>8.858256083477678E-3</v>
      </c>
      <c r="U43" s="20">
        <f>$F43*V$15</f>
        <v>8.6080178173719227E-2</v>
      </c>
      <c r="V43" s="15">
        <f t="shared" si="15"/>
        <v>9468.8195991091143</v>
      </c>
      <c r="W43" s="16">
        <f t="shared" si="16"/>
        <v>3500</v>
      </c>
      <c r="X43" s="15">
        <f t="shared" si="42"/>
        <v>1322.1277736533846</v>
      </c>
      <c r="Y43" s="20">
        <f t="shared" si="18"/>
        <v>6.610638868266923E-3</v>
      </c>
      <c r="Z43" s="35">
        <f>$F43*AA$15</f>
        <v>5.6812917594654691E-2</v>
      </c>
      <c r="AA43" s="36">
        <f t="shared" si="19"/>
        <v>6249.4209354120158</v>
      </c>
      <c r="AB43" s="37">
        <f t="shared" si="20"/>
        <v>2300</v>
      </c>
      <c r="AC43" s="36">
        <f t="shared" si="43"/>
        <v>872.60433061123388</v>
      </c>
      <c r="AD43" s="35">
        <f t="shared" si="22"/>
        <v>4.363021653056169E-3</v>
      </c>
      <c r="AE43" s="33">
        <f t="shared" si="44"/>
        <v>-0.53827586206896427</v>
      </c>
      <c r="AF43" s="33">
        <f t="shared" si="45"/>
        <v>0</v>
      </c>
      <c r="AG43" s="48">
        <f t="shared" si="25"/>
        <v>0</v>
      </c>
    </row>
    <row r="44" spans="1:33" x14ac:dyDescent="0.4">
      <c r="A44" s="50">
        <v>2.68</v>
      </c>
      <c r="B44" s="13">
        <f t="shared" si="26"/>
        <v>0.17499999999999993</v>
      </c>
      <c r="C44" s="13">
        <f t="shared" si="36"/>
        <v>0.13320895522388065</v>
      </c>
      <c r="D44" s="14">
        <f t="shared" si="37"/>
        <v>1.3137254901960773</v>
      </c>
      <c r="E44" s="17">
        <f t="shared" si="38"/>
        <v>0.43220338983050866</v>
      </c>
      <c r="F44" s="30">
        <f t="shared" si="2"/>
        <v>0.20746268656716396</v>
      </c>
      <c r="G44" s="31">
        <f t="shared" si="3"/>
        <v>22820.895522388037</v>
      </c>
      <c r="H44" s="32">
        <f t="shared" si="4"/>
        <v>8500</v>
      </c>
      <c r="I44" s="31">
        <f t="shared" si="39"/>
        <v>3039.9476498106465</v>
      </c>
      <c r="J44" s="33">
        <f t="shared" si="6"/>
        <v>1.5199738249053232E-2</v>
      </c>
      <c r="K44" s="22">
        <f>$F44*L$15</f>
        <v>0.15559701492537298</v>
      </c>
      <c r="L44" s="23">
        <f t="shared" si="7"/>
        <v>17115.671641791028</v>
      </c>
      <c r="M44" s="24">
        <f t="shared" si="8"/>
        <v>6400</v>
      </c>
      <c r="N44" s="23">
        <f t="shared" si="40"/>
        <v>2279.9607373579852</v>
      </c>
      <c r="O44" s="22">
        <f t="shared" si="10"/>
        <v>1.1399803686789925E-2</v>
      </c>
      <c r="P44" s="26">
        <f>$F44*Q$15</f>
        <v>0.13899999999999987</v>
      </c>
      <c r="Q44" s="27">
        <f t="shared" si="11"/>
        <v>15289.999999999985</v>
      </c>
      <c r="R44" s="28">
        <f t="shared" si="12"/>
        <v>5700</v>
      </c>
      <c r="S44" s="27">
        <f t="shared" si="41"/>
        <v>2036.7649253731333</v>
      </c>
      <c r="T44" s="26">
        <f t="shared" si="14"/>
        <v>1.0183824626865666E-2</v>
      </c>
      <c r="U44" s="20">
        <f>$F44*V$15</f>
        <v>0.10373134328358198</v>
      </c>
      <c r="V44" s="15">
        <f t="shared" si="15"/>
        <v>11410.447761194018</v>
      </c>
      <c r="W44" s="16">
        <f t="shared" si="16"/>
        <v>4200</v>
      </c>
      <c r="X44" s="15">
        <f t="shared" si="42"/>
        <v>1519.9738249053232</v>
      </c>
      <c r="Y44" s="20">
        <f t="shared" si="18"/>
        <v>7.599869124526616E-3</v>
      </c>
      <c r="Z44" s="35">
        <f>$F44*AA$15</f>
        <v>6.8462686567164116E-2</v>
      </c>
      <c r="AA44" s="36">
        <f t="shared" si="19"/>
        <v>7530.895522388053</v>
      </c>
      <c r="AB44" s="37">
        <f t="shared" si="20"/>
        <v>2800</v>
      </c>
      <c r="AC44" s="36">
        <f t="shared" si="43"/>
        <v>1003.1827244375135</v>
      </c>
      <c r="AD44" s="35">
        <f t="shared" si="22"/>
        <v>5.0159136221875674E-3</v>
      </c>
      <c r="AE44" s="33">
        <f t="shared" si="44"/>
        <v>-0.69784313725490077</v>
      </c>
      <c r="AF44" s="33">
        <f t="shared" si="45"/>
        <v>0</v>
      </c>
      <c r="AG44" s="48">
        <f t="shared" si="25"/>
        <v>0</v>
      </c>
    </row>
    <row r="45" spans="1:33" x14ac:dyDescent="0.4">
      <c r="A45" s="50">
        <v>2.66</v>
      </c>
      <c r="B45" s="13">
        <f t="shared" si="26"/>
        <v>0.18383458646616535</v>
      </c>
      <c r="C45" s="13">
        <f t="shared" si="36"/>
        <v>0.12669172932330833</v>
      </c>
      <c r="D45" s="14">
        <f t="shared" si="37"/>
        <v>1.4510385756676547</v>
      </c>
      <c r="E45" s="17">
        <f t="shared" si="38"/>
        <v>0.40799031476997599</v>
      </c>
      <c r="F45" s="30">
        <f t="shared" si="2"/>
        <v>0.23987730061349677</v>
      </c>
      <c r="G45" s="31">
        <f t="shared" si="3"/>
        <v>26386.503067484646</v>
      </c>
      <c r="H45" s="32">
        <f t="shared" si="4"/>
        <v>9900</v>
      </c>
      <c r="I45" s="31">
        <f t="shared" si="39"/>
        <v>3342.9517044144095</v>
      </c>
      <c r="J45" s="33">
        <f t="shared" si="6"/>
        <v>1.6714758522072048E-2</v>
      </c>
      <c r="K45" s="22">
        <f>$F45*L$15</f>
        <v>0.17990797546012258</v>
      </c>
      <c r="L45" s="23">
        <f t="shared" si="7"/>
        <v>19789.877300613483</v>
      </c>
      <c r="M45" s="24">
        <f t="shared" si="8"/>
        <v>7400</v>
      </c>
      <c r="N45" s="23">
        <f t="shared" si="40"/>
        <v>2507.2137783108069</v>
      </c>
      <c r="O45" s="22">
        <f t="shared" si="10"/>
        <v>1.2536068891554035E-2</v>
      </c>
      <c r="P45" s="26">
        <f>$F45*Q$15</f>
        <v>0.16071779141104284</v>
      </c>
      <c r="Q45" s="27">
        <f t="shared" si="11"/>
        <v>17678.957055214712</v>
      </c>
      <c r="R45" s="28">
        <f t="shared" si="12"/>
        <v>6600</v>
      </c>
      <c r="S45" s="27">
        <f t="shared" si="41"/>
        <v>2239.7776419576544</v>
      </c>
      <c r="T45" s="26">
        <f t="shared" si="14"/>
        <v>1.1198888209788272E-2</v>
      </c>
      <c r="U45" s="20">
        <f>$F45*V$15</f>
        <v>0.11993865030674838</v>
      </c>
      <c r="V45" s="15">
        <f t="shared" si="15"/>
        <v>13193.251533742323</v>
      </c>
      <c r="W45" s="16">
        <f t="shared" si="16"/>
        <v>4900</v>
      </c>
      <c r="X45" s="15">
        <f t="shared" si="42"/>
        <v>1671.4758522072048</v>
      </c>
      <c r="Y45" s="20">
        <f t="shared" si="18"/>
        <v>8.3573792610360242E-3</v>
      </c>
      <c r="Z45" s="35">
        <f>$F45*AA$15</f>
        <v>7.9159509202453932E-2</v>
      </c>
      <c r="AA45" s="36">
        <f t="shared" si="19"/>
        <v>8707.5460122699333</v>
      </c>
      <c r="AB45" s="37">
        <f t="shared" si="20"/>
        <v>3200</v>
      </c>
      <c r="AC45" s="36">
        <f t="shared" si="43"/>
        <v>1103.1740624567551</v>
      </c>
      <c r="AD45" s="35">
        <f t="shared" si="22"/>
        <v>5.5158703122837752E-3</v>
      </c>
      <c r="AE45" s="33">
        <f t="shared" si="44"/>
        <v>-0.87635014836795144</v>
      </c>
      <c r="AF45" s="33">
        <f t="shared" si="45"/>
        <v>0</v>
      </c>
      <c r="AG45" s="48">
        <f t="shared" si="25"/>
        <v>0</v>
      </c>
    </row>
    <row r="46" spans="1:33" x14ac:dyDescent="0.4">
      <c r="A46" s="50">
        <v>2.64</v>
      </c>
      <c r="B46" s="13">
        <f t="shared" si="26"/>
        <v>0.19280303030303025</v>
      </c>
      <c r="C46" s="13">
        <f t="shared" si="36"/>
        <v>0.12007575757575764</v>
      </c>
      <c r="D46" s="14">
        <f t="shared" si="37"/>
        <v>1.6056782334384845</v>
      </c>
      <c r="E46" s="17">
        <f t="shared" si="38"/>
        <v>0.38377723970944333</v>
      </c>
      <c r="F46" s="30">
        <f t="shared" si="2"/>
        <v>0.26974459724950867</v>
      </c>
      <c r="G46" s="31">
        <f t="shared" si="3"/>
        <v>29671.905697445953</v>
      </c>
      <c r="H46" s="32">
        <f t="shared" si="4"/>
        <v>11200</v>
      </c>
      <c r="I46" s="31">
        <f t="shared" si="39"/>
        <v>3562.8765553372623</v>
      </c>
      <c r="J46" s="33">
        <f t="shared" si="6"/>
        <v>1.7814382776686313E-2</v>
      </c>
      <c r="K46" s="22">
        <f>$F46*L$15</f>
        <v>0.20230844793713149</v>
      </c>
      <c r="L46" s="23">
        <f t="shared" si="7"/>
        <v>22253.929273084465</v>
      </c>
      <c r="M46" s="24">
        <f t="shared" si="8"/>
        <v>8400</v>
      </c>
      <c r="N46" s="23">
        <f t="shared" si="40"/>
        <v>2672.1574165029465</v>
      </c>
      <c r="O46" s="22">
        <f t="shared" si="10"/>
        <v>1.3360787082514732E-2</v>
      </c>
      <c r="P46" s="26">
        <f>$F46*Q$15</f>
        <v>0.18072888015717081</v>
      </c>
      <c r="Q46" s="27">
        <f t="shared" si="11"/>
        <v>19880.17681728879</v>
      </c>
      <c r="R46" s="28">
        <f t="shared" si="12"/>
        <v>7500</v>
      </c>
      <c r="S46" s="27">
        <f t="shared" si="41"/>
        <v>2387.1272920759657</v>
      </c>
      <c r="T46" s="26">
        <f t="shared" si="14"/>
        <v>1.1935636460379829E-2</v>
      </c>
      <c r="U46" s="20">
        <f>$F46*V$15</f>
        <v>0.13487229862475433</v>
      </c>
      <c r="V46" s="15">
        <f t="shared" si="15"/>
        <v>14835.952848722976</v>
      </c>
      <c r="W46" s="16">
        <f t="shared" si="16"/>
        <v>5600</v>
      </c>
      <c r="X46" s="15">
        <f t="shared" si="42"/>
        <v>1781.4382776686311</v>
      </c>
      <c r="Y46" s="20">
        <f t="shared" si="18"/>
        <v>8.9071913883431563E-3</v>
      </c>
      <c r="Z46" s="35">
        <f>$F46*AA$15</f>
        <v>8.9015717092337868E-2</v>
      </c>
      <c r="AA46" s="36">
        <f t="shared" si="19"/>
        <v>9791.7288801571649</v>
      </c>
      <c r="AB46" s="37">
        <f t="shared" si="20"/>
        <v>3700</v>
      </c>
      <c r="AC46" s="36">
        <f t="shared" si="43"/>
        <v>1175.7492632612966</v>
      </c>
      <c r="AD46" s="35">
        <f t="shared" si="22"/>
        <v>5.8787463163064834E-3</v>
      </c>
      <c r="AE46" s="33">
        <f t="shared" si="44"/>
        <v>-1.0773817034700301</v>
      </c>
      <c r="AF46" s="33">
        <f t="shared" si="45"/>
        <v>0</v>
      </c>
      <c r="AG46" s="48">
        <f t="shared" si="25"/>
        <v>0</v>
      </c>
    </row>
    <row r="47" spans="1:33" x14ac:dyDescent="0.4">
      <c r="A47" s="50">
        <v>2.62</v>
      </c>
      <c r="B47" s="13">
        <f t="shared" si="26"/>
        <v>0.20190839694656484</v>
      </c>
      <c r="C47" s="13">
        <f t="shared" si="36"/>
        <v>0.11335877862595425</v>
      </c>
      <c r="D47" s="14">
        <f t="shared" si="37"/>
        <v>1.7811447811447798</v>
      </c>
      <c r="E47" s="17">
        <f t="shared" si="38"/>
        <v>0.35956416464891056</v>
      </c>
      <c r="F47" s="30">
        <f t="shared" si="2"/>
        <v>0.29735349716446113</v>
      </c>
      <c r="G47" s="31">
        <f t="shared" si="3"/>
        <v>32708.884688090726</v>
      </c>
      <c r="H47" s="32">
        <f t="shared" si="4"/>
        <v>12500</v>
      </c>
      <c r="I47" s="31">
        <f t="shared" si="39"/>
        <v>3707.8392184591412</v>
      </c>
      <c r="J47" s="33">
        <f t="shared" si="6"/>
        <v>1.8539196092295707E-2</v>
      </c>
      <c r="K47" s="22">
        <f>$F47*L$15</f>
        <v>0.22301512287334585</v>
      </c>
      <c r="L47" s="23">
        <f t="shared" si="7"/>
        <v>24531.663516068045</v>
      </c>
      <c r="M47" s="24">
        <f t="shared" si="8"/>
        <v>9300</v>
      </c>
      <c r="N47" s="23">
        <f t="shared" si="40"/>
        <v>2780.8794138443559</v>
      </c>
      <c r="O47" s="22">
        <f t="shared" si="10"/>
        <v>1.390439706922178E-2</v>
      </c>
      <c r="P47" s="26">
        <f>$F47*Q$15</f>
        <v>0.19922684310018898</v>
      </c>
      <c r="Q47" s="27">
        <f t="shared" si="11"/>
        <v>21914.952741020788</v>
      </c>
      <c r="R47" s="28">
        <f t="shared" si="12"/>
        <v>8300</v>
      </c>
      <c r="S47" s="27">
        <f t="shared" si="41"/>
        <v>2484.2522763676247</v>
      </c>
      <c r="T47" s="26">
        <f t="shared" si="14"/>
        <v>1.2421261381838123E-2</v>
      </c>
      <c r="U47" s="20">
        <f>$F47*V$15</f>
        <v>0.14867674858223057</v>
      </c>
      <c r="V47" s="15">
        <f t="shared" si="15"/>
        <v>16354.442344045363</v>
      </c>
      <c r="W47" s="16">
        <f t="shared" si="16"/>
        <v>6200</v>
      </c>
      <c r="X47" s="15">
        <f t="shared" si="42"/>
        <v>1853.9196092295706</v>
      </c>
      <c r="Y47" s="20">
        <f t="shared" si="18"/>
        <v>9.2695980461478533E-3</v>
      </c>
      <c r="Z47" s="35">
        <f>$F47*AA$15</f>
        <v>9.8126654064272179E-2</v>
      </c>
      <c r="AA47" s="36">
        <f t="shared" si="19"/>
        <v>10793.931947069939</v>
      </c>
      <c r="AB47" s="37">
        <f t="shared" si="20"/>
        <v>4100</v>
      </c>
      <c r="AC47" s="36">
        <f t="shared" si="43"/>
        <v>1223.5869420915167</v>
      </c>
      <c r="AD47" s="35">
        <f t="shared" si="22"/>
        <v>6.1179347104575836E-3</v>
      </c>
      <c r="AE47" s="33">
        <f t="shared" si="44"/>
        <v>-1.3054882154882144</v>
      </c>
      <c r="AF47" s="33">
        <f t="shared" si="45"/>
        <v>0</v>
      </c>
      <c r="AG47" s="48">
        <f t="shared" si="25"/>
        <v>0</v>
      </c>
    </row>
    <row r="48" spans="1:33" x14ac:dyDescent="0.4">
      <c r="A48" s="50">
        <v>2.6</v>
      </c>
      <c r="B48" s="13">
        <f t="shared" si="26"/>
        <v>0.21115384615384611</v>
      </c>
      <c r="C48" s="13">
        <f t="shared" si="36"/>
        <v>0.10653846153846158</v>
      </c>
      <c r="D48" s="14">
        <f t="shared" si="37"/>
        <v>1.9819494584837534</v>
      </c>
      <c r="E48" s="17">
        <f t="shared" si="38"/>
        <v>0.33535108958837784</v>
      </c>
      <c r="F48" s="30">
        <f t="shared" si="2"/>
        <v>0.32295081967213113</v>
      </c>
      <c r="G48" s="31">
        <f t="shared" si="3"/>
        <v>35524.590163934423</v>
      </c>
      <c r="H48" s="32">
        <f t="shared" si="4"/>
        <v>13600</v>
      </c>
      <c r="I48" s="31">
        <f t="shared" si="39"/>
        <v>3784.7351828499382</v>
      </c>
      <c r="J48" s="33">
        <f t="shared" si="6"/>
        <v>1.8923675914249691E-2</v>
      </c>
      <c r="K48" s="22">
        <f>$F48*L$15</f>
        <v>0.24221311475409835</v>
      </c>
      <c r="L48" s="23">
        <f t="shared" si="7"/>
        <v>26643.442622950817</v>
      </c>
      <c r="M48" s="24">
        <f t="shared" si="8"/>
        <v>10200</v>
      </c>
      <c r="N48" s="23">
        <f t="shared" si="40"/>
        <v>2838.5513871374537</v>
      </c>
      <c r="O48" s="22">
        <f t="shared" si="10"/>
        <v>1.4192756935687268E-2</v>
      </c>
      <c r="P48" s="26">
        <f>$F48*Q$15</f>
        <v>0.21637704918032788</v>
      </c>
      <c r="Q48" s="27">
        <f t="shared" si="11"/>
        <v>23801.475409836068</v>
      </c>
      <c r="R48" s="28">
        <f t="shared" si="12"/>
        <v>9100</v>
      </c>
      <c r="S48" s="27">
        <f t="shared" si="41"/>
        <v>2535.7725725094592</v>
      </c>
      <c r="T48" s="26">
        <f t="shared" si="14"/>
        <v>1.2678862862547297E-2</v>
      </c>
      <c r="U48" s="20">
        <f>$F48*V$15</f>
        <v>0.16147540983606556</v>
      </c>
      <c r="V48" s="15">
        <f t="shared" si="15"/>
        <v>17762.295081967211</v>
      </c>
      <c r="W48" s="16">
        <f t="shared" si="16"/>
        <v>6800</v>
      </c>
      <c r="X48" s="15">
        <f t="shared" si="42"/>
        <v>1892.3675914249691</v>
      </c>
      <c r="Y48" s="20">
        <f t="shared" si="18"/>
        <v>9.4618379571248454E-3</v>
      </c>
      <c r="Z48" s="35">
        <f>$F48*AA$15</f>
        <v>0.10657377049180328</v>
      </c>
      <c r="AA48" s="36">
        <f t="shared" si="19"/>
        <v>11723.11475409836</v>
      </c>
      <c r="AB48" s="37">
        <f t="shared" si="20"/>
        <v>4500</v>
      </c>
      <c r="AC48" s="36">
        <f t="shared" si="43"/>
        <v>1248.9626103404796</v>
      </c>
      <c r="AD48" s="35">
        <f t="shared" si="22"/>
        <v>6.2448130517023977E-3</v>
      </c>
      <c r="AE48" s="33">
        <f t="shared" si="44"/>
        <v>-1.5665342960288799</v>
      </c>
      <c r="AF48" s="33">
        <f t="shared" si="45"/>
        <v>0</v>
      </c>
      <c r="AG48" s="48">
        <f t="shared" si="25"/>
        <v>0</v>
      </c>
    </row>
    <row r="49" spans="1:33" x14ac:dyDescent="0.4">
      <c r="A49" s="50">
        <v>2.58</v>
      </c>
      <c r="B49" s="13">
        <f t="shared" si="26"/>
        <v>0.22054263565891472</v>
      </c>
      <c r="C49" s="13">
        <f t="shared" si="36"/>
        <v>9.9612403100775238E-2</v>
      </c>
      <c r="D49" s="14">
        <f t="shared" si="37"/>
        <v>2.2140077821011661</v>
      </c>
      <c r="E49" s="17">
        <f t="shared" si="38"/>
        <v>0.31113801452784512</v>
      </c>
      <c r="F49" s="30">
        <f t="shared" si="2"/>
        <v>0.34674868189806674</v>
      </c>
      <c r="G49" s="31">
        <f t="shared" si="3"/>
        <v>38142.355008787337</v>
      </c>
      <c r="H49" s="32">
        <f t="shared" si="4"/>
        <v>14800</v>
      </c>
      <c r="I49" s="31">
        <f t="shared" si="39"/>
        <v>3799.4516423481978</v>
      </c>
      <c r="J49" s="33">
        <f t="shared" si="6"/>
        <v>1.8997258211740989E-2</v>
      </c>
      <c r="K49" s="22">
        <f>$F49*L$15</f>
        <v>0.26006151142355005</v>
      </c>
      <c r="L49" s="23">
        <f t="shared" si="7"/>
        <v>28606.766256590505</v>
      </c>
      <c r="M49" s="24">
        <f t="shared" si="8"/>
        <v>11100</v>
      </c>
      <c r="N49" s="23">
        <f t="shared" si="40"/>
        <v>2849.5887317611482</v>
      </c>
      <c r="O49" s="22">
        <f t="shared" si="10"/>
        <v>1.4247943658805742E-2</v>
      </c>
      <c r="P49" s="26">
        <f>$F49*Q$15</f>
        <v>0.23232161687170472</v>
      </c>
      <c r="Q49" s="27">
        <f t="shared" si="11"/>
        <v>25555.37785588752</v>
      </c>
      <c r="R49" s="28">
        <f t="shared" si="12"/>
        <v>9900</v>
      </c>
      <c r="S49" s="27">
        <f t="shared" si="41"/>
        <v>2545.6326003732929</v>
      </c>
      <c r="T49" s="26">
        <f t="shared" si="14"/>
        <v>1.2728163001866464E-2</v>
      </c>
      <c r="U49" s="20">
        <f>$F49*V$15</f>
        <v>0.17337434094903337</v>
      </c>
      <c r="V49" s="15">
        <f t="shared" si="15"/>
        <v>19071.177504393669</v>
      </c>
      <c r="W49" s="16">
        <f t="shared" si="16"/>
        <v>7400</v>
      </c>
      <c r="X49" s="15">
        <f t="shared" si="42"/>
        <v>1899.7258211740989</v>
      </c>
      <c r="Y49" s="20">
        <f t="shared" si="18"/>
        <v>9.4986291058704944E-3</v>
      </c>
      <c r="Z49" s="35">
        <f>$F49*AA$15</f>
        <v>0.11442706502636203</v>
      </c>
      <c r="AA49" s="36">
        <f t="shared" si="19"/>
        <v>12586.977152899824</v>
      </c>
      <c r="AB49" s="37">
        <f t="shared" si="20"/>
        <v>4800</v>
      </c>
      <c r="AC49" s="36">
        <f t="shared" si="43"/>
        <v>1253.8190419749055</v>
      </c>
      <c r="AD49" s="35">
        <f t="shared" si="22"/>
        <v>6.269095209874528E-3</v>
      </c>
      <c r="AE49" s="33">
        <f t="shared" si="44"/>
        <v>-1.8682101167315164</v>
      </c>
      <c r="AF49" s="33">
        <f t="shared" si="45"/>
        <v>0</v>
      </c>
      <c r="AG49" s="48">
        <f t="shared" si="25"/>
        <v>0</v>
      </c>
    </row>
    <row r="50" spans="1:33" x14ac:dyDescent="0.4">
      <c r="A50" s="50">
        <v>2.56</v>
      </c>
      <c r="B50" s="13">
        <f t="shared" si="26"/>
        <v>0.23007812499999999</v>
      </c>
      <c r="C50" s="13">
        <f t="shared" si="36"/>
        <v>9.2578125000000039E-2</v>
      </c>
      <c r="D50" s="14">
        <f t="shared" si="37"/>
        <v>2.4852320675105473</v>
      </c>
      <c r="E50" s="17">
        <f t="shared" si="38"/>
        <v>0.28692493946731246</v>
      </c>
      <c r="F50" s="30">
        <f t="shared" si="2"/>
        <v>0.36893039049235993</v>
      </c>
      <c r="G50" s="31">
        <f t="shared" si="3"/>
        <v>40582.342954159591</v>
      </c>
      <c r="H50" s="32">
        <f t="shared" si="4"/>
        <v>15800</v>
      </c>
      <c r="I50" s="31">
        <f t="shared" si="39"/>
        <v>3757.0372188030574</v>
      </c>
      <c r="J50" s="33">
        <f t="shared" si="6"/>
        <v>1.8785186094015287E-2</v>
      </c>
      <c r="K50" s="22">
        <f>$F50*L$15</f>
        <v>0.27669779286926993</v>
      </c>
      <c r="L50" s="23">
        <f t="shared" si="7"/>
        <v>30436.757215619691</v>
      </c>
      <c r="M50" s="24">
        <f t="shared" si="8"/>
        <v>11900</v>
      </c>
      <c r="N50" s="23">
        <f t="shared" si="40"/>
        <v>2817.7779141022929</v>
      </c>
      <c r="O50" s="22">
        <f t="shared" si="10"/>
        <v>1.4088889570511465E-2</v>
      </c>
      <c r="P50" s="26">
        <f>$F50*Q$15</f>
        <v>0.24718336162988117</v>
      </c>
      <c r="Q50" s="27">
        <f t="shared" si="11"/>
        <v>27190.169779286927</v>
      </c>
      <c r="R50" s="28">
        <f t="shared" si="12"/>
        <v>10600</v>
      </c>
      <c r="S50" s="27">
        <f t="shared" si="41"/>
        <v>2517.2149365980486</v>
      </c>
      <c r="T50" s="26">
        <f t="shared" si="14"/>
        <v>1.2586074682990243E-2</v>
      </c>
      <c r="U50" s="20">
        <f>$F50*V$15</f>
        <v>0.18446519524617996</v>
      </c>
      <c r="V50" s="15">
        <f t="shared" si="15"/>
        <v>20291.171477079795</v>
      </c>
      <c r="W50" s="16">
        <f t="shared" si="16"/>
        <v>7900</v>
      </c>
      <c r="X50" s="15">
        <f t="shared" si="42"/>
        <v>1878.5186094015287</v>
      </c>
      <c r="Y50" s="20">
        <f t="shared" si="18"/>
        <v>9.3925930470076437E-3</v>
      </c>
      <c r="Z50" s="35">
        <f>$F50*AA$15</f>
        <v>0.12174702886247878</v>
      </c>
      <c r="AA50" s="36">
        <f t="shared" si="19"/>
        <v>13392.173174872665</v>
      </c>
      <c r="AB50" s="37">
        <f t="shared" si="20"/>
        <v>5200</v>
      </c>
      <c r="AC50" s="36">
        <f t="shared" si="43"/>
        <v>1239.8222822050091</v>
      </c>
      <c r="AD50" s="35">
        <f t="shared" si="22"/>
        <v>6.1991114110250449E-3</v>
      </c>
      <c r="AE50" s="33">
        <f t="shared" si="44"/>
        <v>-2.2208016877637116</v>
      </c>
      <c r="AF50" s="33">
        <f t="shared" si="45"/>
        <v>0</v>
      </c>
      <c r="AG50" s="48">
        <f t="shared" si="25"/>
        <v>0</v>
      </c>
    </row>
    <row r="51" spans="1:33" x14ac:dyDescent="0.4">
      <c r="A51" s="50">
        <v>2.54</v>
      </c>
      <c r="B51" s="13">
        <f t="shared" si="26"/>
        <v>0.23976377952755903</v>
      </c>
      <c r="C51" s="13">
        <f t="shared" si="36"/>
        <v>8.5433070866141769E-2</v>
      </c>
      <c r="D51" s="14">
        <f t="shared" si="37"/>
        <v>2.8064516129032242</v>
      </c>
      <c r="E51" s="17">
        <f t="shared" si="38"/>
        <v>0.26271186440677974</v>
      </c>
      <c r="F51" s="30">
        <f t="shared" si="2"/>
        <v>0.38965517241379305</v>
      </c>
      <c r="G51" s="31">
        <f t="shared" si="3"/>
        <v>42862.068965517232</v>
      </c>
      <c r="H51" s="32">
        <f t="shared" si="4"/>
        <v>16800</v>
      </c>
      <c r="I51" s="31">
        <f t="shared" si="39"/>
        <v>3661.8381754004895</v>
      </c>
      <c r="J51" s="33">
        <f t="shared" si="6"/>
        <v>1.8309190877002446E-2</v>
      </c>
      <c r="K51" s="22">
        <f>$F51*L$15</f>
        <v>0.29224137931034477</v>
      </c>
      <c r="L51" s="23">
        <f t="shared" si="7"/>
        <v>32146.551724137924</v>
      </c>
      <c r="M51" s="24">
        <f t="shared" si="8"/>
        <v>12600</v>
      </c>
      <c r="N51" s="23">
        <f t="shared" si="40"/>
        <v>2746.3786315503671</v>
      </c>
      <c r="O51" s="22">
        <f t="shared" si="10"/>
        <v>1.3731893157751836E-2</v>
      </c>
      <c r="P51" s="26">
        <f>$F51*Q$15</f>
        <v>0.26106896551724135</v>
      </c>
      <c r="Q51" s="27">
        <f t="shared" si="11"/>
        <v>28717.586206896547</v>
      </c>
      <c r="R51" s="28">
        <f t="shared" si="12"/>
        <v>11300</v>
      </c>
      <c r="S51" s="27">
        <f t="shared" si="41"/>
        <v>2453.4315775183281</v>
      </c>
      <c r="T51" s="26">
        <f t="shared" si="14"/>
        <v>1.2267157887591642E-2</v>
      </c>
      <c r="U51" s="20">
        <f>$F51*V$15</f>
        <v>0.19482758620689652</v>
      </c>
      <c r="V51" s="15">
        <f t="shared" si="15"/>
        <v>21431.034482758616</v>
      </c>
      <c r="W51" s="16">
        <f t="shared" si="16"/>
        <v>8400</v>
      </c>
      <c r="X51" s="15">
        <f t="shared" si="42"/>
        <v>1830.9190877002447</v>
      </c>
      <c r="Y51" s="20">
        <f t="shared" si="18"/>
        <v>9.1545954385012229E-3</v>
      </c>
      <c r="Z51" s="35">
        <f>$F51*AA$15</f>
        <v>0.1285862068965517</v>
      </c>
      <c r="AA51" s="36">
        <f t="shared" si="19"/>
        <v>14144.482758620687</v>
      </c>
      <c r="AB51" s="37">
        <f t="shared" si="20"/>
        <v>5500</v>
      </c>
      <c r="AC51" s="36">
        <f t="shared" si="43"/>
        <v>1208.4065978821616</v>
      </c>
      <c r="AD51" s="35">
        <f t="shared" si="22"/>
        <v>6.0420329894108078E-3</v>
      </c>
      <c r="AE51" s="33">
        <f t="shared" si="44"/>
        <v>-2.6383870967741916</v>
      </c>
      <c r="AF51" s="33">
        <f t="shared" si="45"/>
        <v>0</v>
      </c>
      <c r="AG51" s="48">
        <f t="shared" si="25"/>
        <v>0</v>
      </c>
    </row>
    <row r="52" spans="1:33" x14ac:dyDescent="0.4">
      <c r="A52" s="50">
        <v>2.52</v>
      </c>
      <c r="B52" s="13">
        <f t="shared" si="26"/>
        <v>0.2496031746031746</v>
      </c>
      <c r="C52" s="13">
        <f t="shared" si="36"/>
        <v>7.8174603174603202E-2</v>
      </c>
      <c r="D52" s="14">
        <f t="shared" si="37"/>
        <v>3.1928934010152275</v>
      </c>
      <c r="E52" s="17">
        <f t="shared" si="38"/>
        <v>0.23849878934624702</v>
      </c>
      <c r="F52" s="30">
        <f t="shared" si="2"/>
        <v>0.40906200317965025</v>
      </c>
      <c r="G52" s="31">
        <f t="shared" si="3"/>
        <v>44996.820349761525</v>
      </c>
      <c r="H52" s="32">
        <f t="shared" si="4"/>
        <v>17800</v>
      </c>
      <c r="I52" s="31">
        <f t="shared" si="39"/>
        <v>3517.6085749615172</v>
      </c>
      <c r="J52" s="33">
        <f t="shared" si="6"/>
        <v>1.7588042874807586E-2</v>
      </c>
      <c r="K52" s="22">
        <f>$F52*L$15</f>
        <v>0.30679650238473766</v>
      </c>
      <c r="L52" s="23">
        <f t="shared" si="7"/>
        <v>33747.615262321146</v>
      </c>
      <c r="M52" s="24">
        <f t="shared" si="8"/>
        <v>13400</v>
      </c>
      <c r="N52" s="23">
        <f t="shared" si="40"/>
        <v>2638.2064312211382</v>
      </c>
      <c r="O52" s="22">
        <f t="shared" si="10"/>
        <v>1.3191032156105691E-2</v>
      </c>
      <c r="P52" s="26">
        <f>$F52*Q$15</f>
        <v>0.27407154213036566</v>
      </c>
      <c r="Q52" s="27">
        <f t="shared" si="11"/>
        <v>30147.869634340223</v>
      </c>
      <c r="R52" s="28">
        <f t="shared" si="12"/>
        <v>11900</v>
      </c>
      <c r="S52" s="27">
        <f t="shared" si="41"/>
        <v>2356.7977452242167</v>
      </c>
      <c r="T52" s="26">
        <f t="shared" si="14"/>
        <v>1.1783988726121084E-2</v>
      </c>
      <c r="U52" s="20">
        <f>$F52*V$15</f>
        <v>0.20453100158982512</v>
      </c>
      <c r="V52" s="15">
        <f t="shared" si="15"/>
        <v>22498.410174880762</v>
      </c>
      <c r="W52" s="16">
        <f t="shared" si="16"/>
        <v>8900</v>
      </c>
      <c r="X52" s="15">
        <f t="shared" si="42"/>
        <v>1758.8042874807586</v>
      </c>
      <c r="Y52" s="20">
        <f t="shared" si="18"/>
        <v>8.7940214374037928E-3</v>
      </c>
      <c r="Z52" s="35">
        <f>$F52*AA$15</f>
        <v>0.13499046104928458</v>
      </c>
      <c r="AA52" s="36">
        <f t="shared" si="19"/>
        <v>14848.950715421304</v>
      </c>
      <c r="AB52" s="37">
        <f t="shared" si="20"/>
        <v>5900</v>
      </c>
      <c r="AC52" s="36">
        <f t="shared" si="43"/>
        <v>1160.8108297373008</v>
      </c>
      <c r="AD52" s="35">
        <f t="shared" si="22"/>
        <v>5.8040541486865035E-3</v>
      </c>
      <c r="AE52" s="33">
        <f t="shared" si="44"/>
        <v>-3.1407614213197959</v>
      </c>
      <c r="AF52" s="33">
        <f t="shared" si="45"/>
        <v>0</v>
      </c>
      <c r="AG52" s="48">
        <f t="shared" si="25"/>
        <v>0</v>
      </c>
    </row>
    <row r="53" spans="1:33" x14ac:dyDescent="0.4">
      <c r="A53" s="50">
        <v>2.5</v>
      </c>
      <c r="B53" s="13">
        <f t="shared" si="26"/>
        <v>0.2596</v>
      </c>
      <c r="C53" s="13">
        <f t="shared" si="36"/>
        <v>7.0800000000000016E-2</v>
      </c>
      <c r="D53" s="14">
        <f t="shared" si="37"/>
        <v>3.6666666666666656</v>
      </c>
      <c r="E53" s="17">
        <f t="shared" si="38"/>
        <v>0.21428571428571433</v>
      </c>
      <c r="F53" s="30">
        <f t="shared" si="2"/>
        <v>0.42727272727272725</v>
      </c>
      <c r="G53" s="31">
        <f t="shared" si="3"/>
        <v>47000</v>
      </c>
      <c r="H53" s="32">
        <f t="shared" si="4"/>
        <v>18800</v>
      </c>
      <c r="I53" s="31">
        <f t="shared" si="39"/>
        <v>3327.6000000000008</v>
      </c>
      <c r="J53" s="33">
        <f t="shared" si="6"/>
        <v>1.6638000000000003E-2</v>
      </c>
      <c r="K53" s="22">
        <f>$F53*L$15</f>
        <v>0.32045454545454544</v>
      </c>
      <c r="L53" s="23">
        <f t="shared" si="7"/>
        <v>35250</v>
      </c>
      <c r="M53" s="24">
        <f t="shared" si="8"/>
        <v>14100</v>
      </c>
      <c r="N53" s="23">
        <f t="shared" si="40"/>
        <v>2495.7000000000007</v>
      </c>
      <c r="O53" s="22">
        <f t="shared" si="10"/>
        <v>1.2478500000000003E-2</v>
      </c>
      <c r="P53" s="26">
        <f>$F53*Q$15</f>
        <v>0.28627272727272729</v>
      </c>
      <c r="Q53" s="27">
        <f t="shared" si="11"/>
        <v>31490.000000000004</v>
      </c>
      <c r="R53" s="28">
        <f t="shared" si="12"/>
        <v>12600</v>
      </c>
      <c r="S53" s="27">
        <f t="shared" si="41"/>
        <v>2229.4920000000006</v>
      </c>
      <c r="T53" s="26">
        <f t="shared" si="14"/>
        <v>1.1147460000000003E-2</v>
      </c>
      <c r="U53" s="20">
        <f>$F53*V$15</f>
        <v>0.21363636363636362</v>
      </c>
      <c r="V53" s="15">
        <f t="shared" si="15"/>
        <v>23500</v>
      </c>
      <c r="W53" s="16">
        <f t="shared" si="16"/>
        <v>9400</v>
      </c>
      <c r="X53" s="15">
        <f t="shared" si="42"/>
        <v>1663.8000000000004</v>
      </c>
      <c r="Y53" s="20">
        <f t="shared" si="18"/>
        <v>8.3190000000000017E-3</v>
      </c>
      <c r="Z53" s="35">
        <f>$F53*AA$15</f>
        <v>0.14099999999999999</v>
      </c>
      <c r="AA53" s="36">
        <f t="shared" si="19"/>
        <v>15509.999999999998</v>
      </c>
      <c r="AB53" s="37">
        <f t="shared" si="20"/>
        <v>6200</v>
      </c>
      <c r="AC53" s="36">
        <f t="shared" si="43"/>
        <v>1098.1080000000002</v>
      </c>
      <c r="AD53" s="35">
        <f t="shared" si="22"/>
        <v>5.4905400000000012E-3</v>
      </c>
      <c r="AE53" s="33">
        <f t="shared" si="44"/>
        <v>-3.7566666666666659</v>
      </c>
      <c r="AF53" s="33">
        <f t="shared" si="45"/>
        <v>0</v>
      </c>
      <c r="AG53" s="48">
        <f t="shared" si="25"/>
        <v>0</v>
      </c>
    </row>
    <row r="54" spans="1:33" x14ac:dyDescent="0.4">
      <c r="A54" s="50">
        <v>2.48</v>
      </c>
      <c r="B54" s="13">
        <f t="shared" si="26"/>
        <v>0.26975806451612905</v>
      </c>
      <c r="C54" s="13">
        <f t="shared" si="36"/>
        <v>6.3306451612903242E-2</v>
      </c>
      <c r="D54" s="14">
        <f t="shared" si="37"/>
        <v>4.2611464968152859</v>
      </c>
      <c r="E54" s="17">
        <f t="shared" si="38"/>
        <v>0.19007263922518161</v>
      </c>
      <c r="F54" s="30">
        <f t="shared" si="2"/>
        <v>0.44439461883408077</v>
      </c>
      <c r="G54" s="31">
        <f t="shared" si="3"/>
        <v>48883.408071748883</v>
      </c>
      <c r="H54" s="32">
        <f t="shared" si="4"/>
        <v>19700</v>
      </c>
      <c r="I54" s="31">
        <f t="shared" si="39"/>
        <v>3094.6351077679747</v>
      </c>
      <c r="J54" s="33">
        <f t="shared" si="6"/>
        <v>1.5473175538839872E-2</v>
      </c>
      <c r="K54" s="22">
        <f>$F54*L$15</f>
        <v>0.33329596412556056</v>
      </c>
      <c r="L54" s="23">
        <f t="shared" si="7"/>
        <v>36662.556053811662</v>
      </c>
      <c r="M54" s="24">
        <f t="shared" si="8"/>
        <v>14800</v>
      </c>
      <c r="N54" s="23">
        <f t="shared" si="40"/>
        <v>2320.9763308259808</v>
      </c>
      <c r="O54" s="22">
        <f t="shared" si="10"/>
        <v>1.1604881654129904E-2</v>
      </c>
      <c r="P54" s="26">
        <f>$F54*Q$15</f>
        <v>0.29774439461883412</v>
      </c>
      <c r="Q54" s="27">
        <f t="shared" si="11"/>
        <v>32751.883408071753</v>
      </c>
      <c r="R54" s="28">
        <f t="shared" si="12"/>
        <v>13200</v>
      </c>
      <c r="S54" s="27">
        <f t="shared" si="41"/>
        <v>2073.4055222045431</v>
      </c>
      <c r="T54" s="26">
        <f t="shared" si="14"/>
        <v>1.0367027611022716E-2</v>
      </c>
      <c r="U54" s="20">
        <f>$F54*V$15</f>
        <v>0.22219730941704038</v>
      </c>
      <c r="V54" s="15">
        <f t="shared" si="15"/>
        <v>24441.704035874442</v>
      </c>
      <c r="W54" s="16">
        <f t="shared" si="16"/>
        <v>9800</v>
      </c>
      <c r="X54" s="15">
        <f t="shared" si="42"/>
        <v>1547.3175538839873</v>
      </c>
      <c r="Y54" s="20">
        <f t="shared" si="18"/>
        <v>7.7365877694199362E-3</v>
      </c>
      <c r="Z54" s="35">
        <f>$F54*AA$15</f>
        <v>0.14665022421524665</v>
      </c>
      <c r="AA54" s="36">
        <f t="shared" si="19"/>
        <v>16131.524663677132</v>
      </c>
      <c r="AB54" s="37">
        <f t="shared" si="20"/>
        <v>6500</v>
      </c>
      <c r="AC54" s="36">
        <f t="shared" si="43"/>
        <v>1021.2295855634316</v>
      </c>
      <c r="AD54" s="35">
        <f t="shared" si="22"/>
        <v>5.1061479278171574E-3</v>
      </c>
      <c r="AE54" s="33">
        <f t="shared" si="44"/>
        <v>-4.5294904458598726</v>
      </c>
      <c r="AF54" s="33">
        <f t="shared" si="45"/>
        <v>0</v>
      </c>
      <c r="AG54" s="48">
        <f t="shared" si="25"/>
        <v>0</v>
      </c>
    </row>
    <row r="55" spans="1:33" x14ac:dyDescent="0.4">
      <c r="A55" s="50">
        <v>2.46</v>
      </c>
      <c r="B55" s="13">
        <f t="shared" si="26"/>
        <v>0.28008130081300814</v>
      </c>
      <c r="C55" s="13">
        <f t="shared" si="36"/>
        <v>5.5691056910569109E-2</v>
      </c>
      <c r="D55" s="14">
        <f t="shared" si="37"/>
        <v>5.0291970802919703</v>
      </c>
      <c r="E55" s="17">
        <f t="shared" si="38"/>
        <v>0.16585956416464889</v>
      </c>
      <c r="F55" s="30">
        <f t="shared" si="2"/>
        <v>0.46052249637155307</v>
      </c>
      <c r="G55" s="31">
        <f t="shared" si="3"/>
        <v>50657.474600870839</v>
      </c>
      <c r="H55" s="32">
        <f t="shared" si="4"/>
        <v>20600</v>
      </c>
      <c r="I55" s="31">
        <f t="shared" si="39"/>
        <v>2821.168300942807</v>
      </c>
      <c r="J55" s="33">
        <f t="shared" si="6"/>
        <v>1.4105841504714035E-2</v>
      </c>
      <c r="K55" s="22">
        <f>$F55*L$15</f>
        <v>0.3453918722786648</v>
      </c>
      <c r="L55" s="23">
        <f t="shared" si="7"/>
        <v>37993.105950653131</v>
      </c>
      <c r="M55" s="24">
        <f t="shared" si="8"/>
        <v>15400</v>
      </c>
      <c r="N55" s="23">
        <f t="shared" si="40"/>
        <v>2115.8762257071053</v>
      </c>
      <c r="O55" s="22">
        <f t="shared" si="10"/>
        <v>1.0579381128535527E-2</v>
      </c>
      <c r="P55" s="26">
        <f>$F55*Q$15</f>
        <v>0.30855007256894057</v>
      </c>
      <c r="Q55" s="27">
        <f t="shared" si="11"/>
        <v>33940.507982583462</v>
      </c>
      <c r="R55" s="28">
        <f t="shared" si="12"/>
        <v>13800</v>
      </c>
      <c r="S55" s="27">
        <f t="shared" si="41"/>
        <v>1890.1827616316807</v>
      </c>
      <c r="T55" s="26">
        <f t="shared" si="14"/>
        <v>9.4509138081584031E-3</v>
      </c>
      <c r="U55" s="20">
        <f>$F55*V$15</f>
        <v>0.23026124818577653</v>
      </c>
      <c r="V55" s="15">
        <f t="shared" si="15"/>
        <v>25328.737300435419</v>
      </c>
      <c r="W55" s="16">
        <f t="shared" si="16"/>
        <v>10300</v>
      </c>
      <c r="X55" s="15">
        <f t="shared" si="42"/>
        <v>1410.5841504714035</v>
      </c>
      <c r="Y55" s="20">
        <f t="shared" si="18"/>
        <v>7.0529207523570177E-3</v>
      </c>
      <c r="Z55" s="35">
        <f>$F55*AA$15</f>
        <v>0.15197242380261253</v>
      </c>
      <c r="AA55" s="36">
        <f t="shared" si="19"/>
        <v>16716.966618287377</v>
      </c>
      <c r="AB55" s="37">
        <f t="shared" si="20"/>
        <v>6800</v>
      </c>
      <c r="AC55" s="36">
        <f t="shared" si="43"/>
        <v>930.98553931112633</v>
      </c>
      <c r="AD55" s="35">
        <f t="shared" si="22"/>
        <v>4.6549276965556314E-3</v>
      </c>
      <c r="AE55" s="33">
        <f t="shared" si="44"/>
        <v>-5.5279562043795627</v>
      </c>
      <c r="AF55" s="33">
        <f t="shared" si="45"/>
        <v>0</v>
      </c>
      <c r="AG55" s="48">
        <f t="shared" si="25"/>
        <v>0</v>
      </c>
    </row>
    <row r="56" spans="1:33" x14ac:dyDescent="0.4">
      <c r="A56" s="50">
        <v>2.44</v>
      </c>
      <c r="B56" s="13">
        <f t="shared" si="26"/>
        <v>0.29057377049180333</v>
      </c>
      <c r="C56" s="13">
        <f t="shared" si="36"/>
        <v>4.7950819672131148E-2</v>
      </c>
      <c r="D56" s="14">
        <f t="shared" si="37"/>
        <v>6.0598290598290605</v>
      </c>
      <c r="E56" s="17">
        <f t="shared" si="38"/>
        <v>0.1416464891041162</v>
      </c>
      <c r="F56" s="30">
        <f t="shared" si="2"/>
        <v>0.47574047954866011</v>
      </c>
      <c r="G56" s="31">
        <f t="shared" si="3"/>
        <v>52331.452750352611</v>
      </c>
      <c r="H56" s="32">
        <f t="shared" si="4"/>
        <v>21400</v>
      </c>
      <c r="I56" s="31">
        <f t="shared" si="39"/>
        <v>2509.3360540128097</v>
      </c>
      <c r="J56" s="33">
        <f t="shared" si="6"/>
        <v>1.2546680270064049E-2</v>
      </c>
      <c r="K56" s="22">
        <f>$F56*L$15</f>
        <v>0.35680535966149507</v>
      </c>
      <c r="L56" s="23">
        <f t="shared" si="7"/>
        <v>39248.589562764457</v>
      </c>
      <c r="M56" s="24">
        <f t="shared" si="8"/>
        <v>16100</v>
      </c>
      <c r="N56" s="23">
        <f t="shared" si="40"/>
        <v>1882.0020405096072</v>
      </c>
      <c r="O56" s="22">
        <f t="shared" si="10"/>
        <v>9.4100102025480355E-3</v>
      </c>
      <c r="P56" s="26">
        <f>$F56*Q$15</f>
        <v>0.31874612129760227</v>
      </c>
      <c r="Q56" s="27">
        <f t="shared" si="11"/>
        <v>35062.07334273625</v>
      </c>
      <c r="R56" s="28">
        <f t="shared" si="12"/>
        <v>14300</v>
      </c>
      <c r="S56" s="27">
        <f t="shared" si="41"/>
        <v>1681.2551561885825</v>
      </c>
      <c r="T56" s="26">
        <f t="shared" si="14"/>
        <v>8.4062757809429123E-3</v>
      </c>
      <c r="U56" s="20">
        <f>$F56*V$15</f>
        <v>0.23787023977433006</v>
      </c>
      <c r="V56" s="15">
        <f t="shared" si="15"/>
        <v>26165.726375176306</v>
      </c>
      <c r="W56" s="16">
        <f t="shared" si="16"/>
        <v>10700</v>
      </c>
      <c r="X56" s="15">
        <f t="shared" si="42"/>
        <v>1254.6680270064048</v>
      </c>
      <c r="Y56" s="20">
        <f t="shared" si="18"/>
        <v>6.2733401350320243E-3</v>
      </c>
      <c r="Z56" s="35">
        <f>$F56*AA$15</f>
        <v>0.15699435825105784</v>
      </c>
      <c r="AA56" s="36">
        <f t="shared" si="19"/>
        <v>17269.379407616361</v>
      </c>
      <c r="AB56" s="37">
        <f t="shared" si="20"/>
        <v>7000</v>
      </c>
      <c r="AC56" s="36">
        <f t="shared" si="43"/>
        <v>828.08089782422712</v>
      </c>
      <c r="AD56" s="35">
        <f t="shared" si="22"/>
        <v>4.1404044891211354E-3</v>
      </c>
      <c r="AE56" s="33">
        <f t="shared" si="44"/>
        <v>-6.8677777777777793</v>
      </c>
      <c r="AF56" s="33">
        <f t="shared" si="45"/>
        <v>0</v>
      </c>
      <c r="AG56" s="48">
        <f t="shared" si="25"/>
        <v>0</v>
      </c>
    </row>
    <row r="57" spans="1:33" x14ac:dyDescent="0.4">
      <c r="A57" s="50">
        <v>2.42</v>
      </c>
      <c r="B57" s="13">
        <f t="shared" si="26"/>
        <v>0.30123966942148767</v>
      </c>
      <c r="C57" s="13">
        <f t="shared" si="36"/>
        <v>4.0082644628099164E-2</v>
      </c>
      <c r="D57" s="14">
        <f t="shared" si="37"/>
        <v>7.5154639175257767</v>
      </c>
      <c r="E57" s="17">
        <f t="shared" si="38"/>
        <v>0.11743341404358348</v>
      </c>
      <c r="F57" s="30">
        <f t="shared" si="2"/>
        <v>0.49012345679012348</v>
      </c>
      <c r="G57" s="31">
        <f t="shared" si="3"/>
        <v>53913.580246913582</v>
      </c>
      <c r="H57" s="32">
        <f t="shared" si="4"/>
        <v>22200</v>
      </c>
      <c r="I57" s="31">
        <f t="shared" si="39"/>
        <v>2160.9988776655437</v>
      </c>
      <c r="J57" s="33">
        <f t="shared" si="6"/>
        <v>1.0804994388327719E-2</v>
      </c>
      <c r="K57" s="22">
        <f>$F57*L$15</f>
        <v>0.36759259259259258</v>
      </c>
      <c r="L57" s="23">
        <f t="shared" si="7"/>
        <v>40435.185185185182</v>
      </c>
      <c r="M57" s="24">
        <f t="shared" si="8"/>
        <v>16700</v>
      </c>
      <c r="N57" s="23">
        <f t="shared" si="40"/>
        <v>1620.7491582491577</v>
      </c>
      <c r="O57" s="22">
        <f t="shared" si="10"/>
        <v>8.1037457912457884E-3</v>
      </c>
      <c r="P57" s="26">
        <f>$F57*Q$15</f>
        <v>0.32838271604938274</v>
      </c>
      <c r="Q57" s="27">
        <f t="shared" si="11"/>
        <v>36122.0987654321</v>
      </c>
      <c r="R57" s="28">
        <f t="shared" si="12"/>
        <v>14900</v>
      </c>
      <c r="S57" s="27">
        <f t="shared" si="41"/>
        <v>1447.8692480359143</v>
      </c>
      <c r="T57" s="26">
        <f t="shared" si="14"/>
        <v>7.2393462401795713E-3</v>
      </c>
      <c r="U57" s="20">
        <f>$F57*V$15</f>
        <v>0.24506172839506174</v>
      </c>
      <c r="V57" s="15">
        <f t="shared" si="15"/>
        <v>26956.790123456791</v>
      </c>
      <c r="W57" s="16">
        <f t="shared" si="16"/>
        <v>11100</v>
      </c>
      <c r="X57" s="15">
        <f t="shared" si="42"/>
        <v>1080.4994388327718</v>
      </c>
      <c r="Y57" s="20">
        <f t="shared" si="18"/>
        <v>5.4024971941638595E-3</v>
      </c>
      <c r="Z57" s="35">
        <f>$F57*AA$15</f>
        <v>0.16174074074074077</v>
      </c>
      <c r="AA57" s="36">
        <f t="shared" si="19"/>
        <v>17791.481481481485</v>
      </c>
      <c r="AB57" s="37">
        <f t="shared" si="20"/>
        <v>7300</v>
      </c>
      <c r="AC57" s="36">
        <f t="shared" si="43"/>
        <v>713.12962962962956</v>
      </c>
      <c r="AD57" s="35">
        <f t="shared" si="22"/>
        <v>3.5656481481481477E-3</v>
      </c>
      <c r="AE57" s="33">
        <f t="shared" si="44"/>
        <v>-8.7601030927835115</v>
      </c>
      <c r="AF57" s="33">
        <f t="shared" si="45"/>
        <v>0</v>
      </c>
      <c r="AG57" s="48">
        <f t="shared" si="25"/>
        <v>0</v>
      </c>
    </row>
    <row r="58" spans="1:33" x14ac:dyDescent="0.4">
      <c r="A58" s="50">
        <v>2.4</v>
      </c>
      <c r="B58" s="13">
        <f t="shared" si="26"/>
        <v>0.31208333333333338</v>
      </c>
      <c r="C58" s="13">
        <f t="shared" si="36"/>
        <v>3.2083333333333318E-2</v>
      </c>
      <c r="D58" s="14">
        <f t="shared" si="37"/>
        <v>9.7272727272727337</v>
      </c>
      <c r="E58" s="17">
        <f t="shared" si="38"/>
        <v>9.3220338983050793E-2</v>
      </c>
      <c r="F58" s="30">
        <f t="shared" si="2"/>
        <v>0.50373831775700939</v>
      </c>
      <c r="G58" s="31">
        <f t="shared" si="3"/>
        <v>55411.214953271032</v>
      </c>
      <c r="H58" s="32">
        <f t="shared" si="4"/>
        <v>23100</v>
      </c>
      <c r="I58" s="31">
        <f t="shared" si="39"/>
        <v>1777.776479750778</v>
      </c>
      <c r="J58" s="33">
        <f t="shared" si="6"/>
        <v>8.88888239875389E-3</v>
      </c>
      <c r="K58" s="22">
        <f>$F58*L$15</f>
        <v>0.37780373831775704</v>
      </c>
      <c r="L58" s="23">
        <f t="shared" si="7"/>
        <v>41558.411214953274</v>
      </c>
      <c r="M58" s="24">
        <f t="shared" si="8"/>
        <v>17300</v>
      </c>
      <c r="N58" s="23">
        <f t="shared" si="40"/>
        <v>1333.3323598130835</v>
      </c>
      <c r="O58" s="22">
        <f t="shared" si="10"/>
        <v>6.6666617990654171E-3</v>
      </c>
      <c r="P58" s="26">
        <f>$F58*Q$15</f>
        <v>0.33750467289719632</v>
      </c>
      <c r="Q58" s="27">
        <f t="shared" si="11"/>
        <v>37125.514018691596</v>
      </c>
      <c r="R58" s="28">
        <f t="shared" si="12"/>
        <v>15400</v>
      </c>
      <c r="S58" s="27">
        <f t="shared" si="41"/>
        <v>1191.1102414330214</v>
      </c>
      <c r="T58" s="26">
        <f t="shared" si="14"/>
        <v>5.955551207165107E-3</v>
      </c>
      <c r="U58" s="20">
        <f>$F58*V$15</f>
        <v>0.2518691588785047</v>
      </c>
      <c r="V58" s="15">
        <f t="shared" si="15"/>
        <v>27705.607476635516</v>
      </c>
      <c r="W58" s="16">
        <f t="shared" si="16"/>
        <v>11500</v>
      </c>
      <c r="X58" s="15">
        <f t="shared" si="42"/>
        <v>888.88823987538899</v>
      </c>
      <c r="Y58" s="20">
        <f t="shared" si="18"/>
        <v>4.444441199376945E-3</v>
      </c>
      <c r="Z58" s="35">
        <f>$F58*AA$15</f>
        <v>0.1662336448598131</v>
      </c>
      <c r="AA58" s="36">
        <f t="shared" si="19"/>
        <v>18285.700934579439</v>
      </c>
      <c r="AB58" s="37">
        <f t="shared" si="20"/>
        <v>7600</v>
      </c>
      <c r="AC58" s="36">
        <f t="shared" si="43"/>
        <v>586.66623831775678</v>
      </c>
      <c r="AD58" s="35">
        <f t="shared" si="22"/>
        <v>2.9333311915887839E-3</v>
      </c>
      <c r="AE58" s="33">
        <f t="shared" si="44"/>
        <v>-11.635454545454557</v>
      </c>
      <c r="AF58" s="33">
        <f t="shared" si="45"/>
        <v>0</v>
      </c>
      <c r="AG58" s="48">
        <f t="shared" si="25"/>
        <v>0</v>
      </c>
    </row>
    <row r="59" spans="1:33" x14ac:dyDescent="0.4">
      <c r="A59" s="50">
        <v>2.38</v>
      </c>
      <c r="B59" s="13">
        <f t="shared" si="26"/>
        <v>0.32310924369747906</v>
      </c>
      <c r="C59" s="13">
        <f t="shared" si="36"/>
        <v>2.394957983193275E-2</v>
      </c>
      <c r="D59" s="14">
        <f t="shared" si="37"/>
        <v>13.491228070175454</v>
      </c>
      <c r="E59" s="17">
        <f t="shared" si="38"/>
        <v>6.9007263922518089E-2</v>
      </c>
      <c r="F59" s="30">
        <f t="shared" si="2"/>
        <v>0.51664499349804949</v>
      </c>
      <c r="G59" s="31">
        <f t="shared" si="3"/>
        <v>56830.949284785442</v>
      </c>
      <c r="H59" s="32">
        <f t="shared" si="4"/>
        <v>23800</v>
      </c>
      <c r="I59" s="31">
        <f t="shared" si="39"/>
        <v>1361.0773568204904</v>
      </c>
      <c r="J59" s="33">
        <f t="shared" si="6"/>
        <v>6.8053867841024523E-3</v>
      </c>
      <c r="K59" s="22">
        <f>$F59*L$15</f>
        <v>0.38748374512353712</v>
      </c>
      <c r="L59" s="23">
        <f t="shared" si="7"/>
        <v>42623.211963589085</v>
      </c>
      <c r="M59" s="24">
        <f t="shared" si="8"/>
        <v>17900</v>
      </c>
      <c r="N59" s="23">
        <f t="shared" si="40"/>
        <v>1020.8080176153679</v>
      </c>
      <c r="O59" s="22">
        <f t="shared" si="10"/>
        <v>5.1040400880768399E-3</v>
      </c>
      <c r="P59" s="26">
        <f>$F59*Q$15</f>
        <v>0.34615214564369318</v>
      </c>
      <c r="Q59" s="27">
        <f t="shared" si="11"/>
        <v>38076.736020806253</v>
      </c>
      <c r="R59" s="28">
        <f t="shared" si="12"/>
        <v>16000</v>
      </c>
      <c r="S59" s="27">
        <f t="shared" si="41"/>
        <v>911.92182906972869</v>
      </c>
      <c r="T59" s="26">
        <f t="shared" si="14"/>
        <v>4.5596091453486438E-3</v>
      </c>
      <c r="U59" s="20">
        <f>$F59*V$15</f>
        <v>0.25832249674902474</v>
      </c>
      <c r="V59" s="15">
        <f t="shared" si="15"/>
        <v>28415.474642392721</v>
      </c>
      <c r="W59" s="16">
        <f t="shared" si="16"/>
        <v>11900</v>
      </c>
      <c r="X59" s="15">
        <f t="shared" si="42"/>
        <v>680.53867841024521</v>
      </c>
      <c r="Y59" s="20">
        <f t="shared" si="18"/>
        <v>3.4026933920512262E-3</v>
      </c>
      <c r="Z59" s="35">
        <f>$F59*AA$15</f>
        <v>0.17049284785435634</v>
      </c>
      <c r="AA59" s="36">
        <f t="shared" si="19"/>
        <v>18754.213263979196</v>
      </c>
      <c r="AB59" s="37">
        <f t="shared" si="20"/>
        <v>7800</v>
      </c>
      <c r="AC59" s="36">
        <f t="shared" si="43"/>
        <v>449.15552775076185</v>
      </c>
      <c r="AD59" s="35">
        <f t="shared" si="22"/>
        <v>2.2457776387538094E-3</v>
      </c>
      <c r="AE59" s="33">
        <f t="shared" si="44"/>
        <v>-16.528596491228097</v>
      </c>
      <c r="AF59" s="33">
        <f t="shared" si="45"/>
        <v>0</v>
      </c>
      <c r="AG59" s="48">
        <f t="shared" si="25"/>
        <v>0</v>
      </c>
    </row>
    <row r="60" spans="1:33" x14ac:dyDescent="0.4">
      <c r="A60" s="50">
        <v>2.36</v>
      </c>
      <c r="B60" s="13">
        <f t="shared" si="26"/>
        <v>0.33432203389830517</v>
      </c>
      <c r="C60" s="13">
        <f t="shared" si="36"/>
        <v>1.5677966101694883E-2</v>
      </c>
      <c r="D60" s="14">
        <f t="shared" si="37"/>
        <v>21.324324324324373</v>
      </c>
      <c r="E60" s="17">
        <f t="shared" si="38"/>
        <v>4.4794188861985378E-2</v>
      </c>
      <c r="F60" s="30">
        <f t="shared" si="2"/>
        <v>0.52889733840304187</v>
      </c>
      <c r="G60" s="31">
        <f t="shared" si="3"/>
        <v>58178.707224334605</v>
      </c>
      <c r="H60" s="32">
        <f t="shared" si="4"/>
        <v>24600</v>
      </c>
      <c r="I60" s="31">
        <f t="shared" si="39"/>
        <v>912.12379970354914</v>
      </c>
      <c r="J60" s="33">
        <f t="shared" si="6"/>
        <v>4.5606189985177457E-3</v>
      </c>
      <c r="K60" s="22">
        <f>$F60*L$15</f>
        <v>0.39667300380228143</v>
      </c>
      <c r="L60" s="23">
        <f t="shared" si="7"/>
        <v>43634.030418250957</v>
      </c>
      <c r="M60" s="24">
        <f t="shared" si="8"/>
        <v>18500</v>
      </c>
      <c r="N60" s="23">
        <f t="shared" si="40"/>
        <v>684.09284977766197</v>
      </c>
      <c r="O60" s="22">
        <f t="shared" si="10"/>
        <v>3.4204642488883099E-3</v>
      </c>
      <c r="P60" s="26">
        <f>$F60*Q$15</f>
        <v>0.35436121673003806</v>
      </c>
      <c r="Q60" s="27">
        <f t="shared" si="11"/>
        <v>38979.733840304187</v>
      </c>
      <c r="R60" s="28">
        <f t="shared" si="12"/>
        <v>16500</v>
      </c>
      <c r="S60" s="27">
        <f t="shared" si="41"/>
        <v>611.12294580137791</v>
      </c>
      <c r="T60" s="26">
        <f t="shared" si="14"/>
        <v>3.0556147290068895E-3</v>
      </c>
      <c r="U60" s="20">
        <f>$F60*V$15</f>
        <v>0.26444866920152094</v>
      </c>
      <c r="V60" s="15">
        <f t="shared" si="15"/>
        <v>29089.353612167302</v>
      </c>
      <c r="W60" s="16">
        <f t="shared" si="16"/>
        <v>12300</v>
      </c>
      <c r="X60" s="15">
        <f t="shared" si="42"/>
        <v>456.06189985177457</v>
      </c>
      <c r="Y60" s="20">
        <f t="shared" si="18"/>
        <v>2.2803094992588729E-3</v>
      </c>
      <c r="Z60" s="35">
        <f>$F60*AA$15</f>
        <v>0.17453612167300384</v>
      </c>
      <c r="AA60" s="36">
        <f t="shared" si="19"/>
        <v>19198.973384030422</v>
      </c>
      <c r="AB60" s="37">
        <f t="shared" si="20"/>
        <v>8100</v>
      </c>
      <c r="AC60" s="36">
        <f t="shared" si="43"/>
        <v>301.00085390217123</v>
      </c>
      <c r="AD60" s="35">
        <f t="shared" si="22"/>
        <v>1.5050042695108562E-3</v>
      </c>
      <c r="AE60" s="33">
        <f t="shared" si="44"/>
        <v>-26.711621621621688</v>
      </c>
      <c r="AF60" s="33">
        <f t="shared" si="45"/>
        <v>0</v>
      </c>
      <c r="AG60" s="48">
        <f t="shared" si="25"/>
        <v>0</v>
      </c>
    </row>
    <row r="61" spans="1:33" x14ac:dyDescent="0.4">
      <c r="A61" s="50">
        <v>2.34</v>
      </c>
      <c r="B61" s="13">
        <f t="shared" si="26"/>
        <v>0.34572649572649583</v>
      </c>
      <c r="C61" s="13">
        <f t="shared" si="36"/>
        <v>7.2649572649572244E-3</v>
      </c>
      <c r="D61" s="14">
        <f t="shared" si="37"/>
        <v>47.588235294117929</v>
      </c>
      <c r="E61" s="17">
        <f t="shared" si="38"/>
        <v>2.0581113801452666E-2</v>
      </c>
      <c r="F61" s="30">
        <f t="shared" si="2"/>
        <v>0.54054388133498155</v>
      </c>
      <c r="G61" s="31">
        <f t="shared" si="3"/>
        <v>59459.82694684797</v>
      </c>
      <c r="H61" s="32">
        <f t="shared" si="4"/>
        <v>25400</v>
      </c>
      <c r="I61" s="31">
        <f t="shared" si="39"/>
        <v>431.9731017506025</v>
      </c>
      <c r="J61" s="33">
        <f t="shared" si="6"/>
        <v>2.1598655087530123E-3</v>
      </c>
      <c r="K61" s="22">
        <f>$F61*L$15</f>
        <v>0.40540791100123619</v>
      </c>
      <c r="L61" s="23">
        <f t="shared" si="7"/>
        <v>44594.870210135981</v>
      </c>
      <c r="M61" s="24">
        <f t="shared" si="8"/>
        <v>19000</v>
      </c>
      <c r="N61" s="23">
        <f t="shared" si="40"/>
        <v>323.9798263129519</v>
      </c>
      <c r="O61" s="22">
        <f t="shared" si="10"/>
        <v>1.6198991315647595E-3</v>
      </c>
      <c r="P61" s="26">
        <f>$F61*Q$15</f>
        <v>0.36216440049443765</v>
      </c>
      <c r="Q61" s="27">
        <f t="shared" si="11"/>
        <v>39838.084054388142</v>
      </c>
      <c r="R61" s="28">
        <f t="shared" si="12"/>
        <v>17000</v>
      </c>
      <c r="S61" s="27">
        <f t="shared" si="41"/>
        <v>289.42197817290366</v>
      </c>
      <c r="T61" s="26">
        <f t="shared" si="14"/>
        <v>1.4471098908645182E-3</v>
      </c>
      <c r="U61" s="20">
        <f>$F61*V$15</f>
        <v>0.27027194066749077</v>
      </c>
      <c r="V61" s="15">
        <f t="shared" si="15"/>
        <v>29729.913473423985</v>
      </c>
      <c r="W61" s="16">
        <f t="shared" si="16"/>
        <v>12700</v>
      </c>
      <c r="X61" s="15">
        <f t="shared" si="42"/>
        <v>215.98655087530125</v>
      </c>
      <c r="Y61" s="20">
        <f t="shared" si="18"/>
        <v>1.0799327543765062E-3</v>
      </c>
      <c r="Z61" s="35">
        <f>$F61*AA$15</f>
        <v>0.17837948084054392</v>
      </c>
      <c r="AA61" s="36">
        <f t="shared" si="19"/>
        <v>19621.742892459832</v>
      </c>
      <c r="AB61" s="37">
        <f t="shared" si="20"/>
        <v>8400</v>
      </c>
      <c r="AC61" s="36">
        <f t="shared" si="43"/>
        <v>142.55112357769883</v>
      </c>
      <c r="AD61" s="35">
        <f t="shared" si="22"/>
        <v>7.127556178884942E-4</v>
      </c>
      <c r="AE61" s="33">
        <f t="shared" si="44"/>
        <v>-60.854705882353315</v>
      </c>
      <c r="AF61" s="33">
        <f t="shared" si="45"/>
        <v>0</v>
      </c>
      <c r="AG61" s="48">
        <f t="shared" si="25"/>
        <v>0</v>
      </c>
    </row>
    <row r="62" spans="1:33" x14ac:dyDescent="0.4">
      <c r="A62" s="50">
        <v>2.3199999999999998</v>
      </c>
      <c r="B62" s="13">
        <f t="shared" si="26"/>
        <v>0.35732758620689664</v>
      </c>
      <c r="C62" s="13">
        <f t="shared" si="36"/>
        <v>-1.2931034482759111E-3</v>
      </c>
      <c r="D62" s="14">
        <f t="shared" si="37"/>
        <v>-276.33333333332291</v>
      </c>
      <c r="E62" s="17">
        <f t="shared" si="38"/>
        <v>-3.6319612590800404E-3</v>
      </c>
      <c r="F62" s="30">
        <f t="shared" si="2"/>
        <v>0.55162846803377563</v>
      </c>
      <c r="G62" s="31">
        <f t="shared" si="3"/>
        <v>60679.131483715319</v>
      </c>
      <c r="H62" s="32">
        <f t="shared" si="4"/>
        <v>26100</v>
      </c>
      <c r="I62" s="31">
        <f t="shared" si="39"/>
        <v>-78.464394159979676</v>
      </c>
      <c r="J62" s="33">
        <f t="shared" si="6"/>
        <v>-3.9232197079989837E-4</v>
      </c>
      <c r="K62" s="22">
        <f>$F62*L$15</f>
        <v>0.4137213510253317</v>
      </c>
      <c r="L62" s="23">
        <f t="shared" si="7"/>
        <v>45509.348612786489</v>
      </c>
      <c r="M62" s="24">
        <f t="shared" si="8"/>
        <v>19600</v>
      </c>
      <c r="N62" s="23">
        <f t="shared" si="40"/>
        <v>-58.848295619984761</v>
      </c>
      <c r="O62" s="22">
        <f t="shared" si="10"/>
        <v>-2.9424147809992379E-4</v>
      </c>
      <c r="P62" s="26">
        <f>$F62*Q$15</f>
        <v>0.36959107358262971</v>
      </c>
      <c r="Q62" s="27">
        <f t="shared" si="11"/>
        <v>40655.018094089268</v>
      </c>
      <c r="R62" s="28">
        <f t="shared" si="12"/>
        <v>17500</v>
      </c>
      <c r="S62" s="27">
        <f t="shared" si="41"/>
        <v>-52.57114408718639</v>
      </c>
      <c r="T62" s="26">
        <f t="shared" si="14"/>
        <v>-2.6285572043593193E-4</v>
      </c>
      <c r="U62" s="20">
        <f>$F62*V$15</f>
        <v>0.27581423401688782</v>
      </c>
      <c r="V62" s="15">
        <f t="shared" si="15"/>
        <v>30339.565741857659</v>
      </c>
      <c r="W62" s="16">
        <f t="shared" si="16"/>
        <v>13000</v>
      </c>
      <c r="X62" s="15">
        <f t="shared" si="42"/>
        <v>-39.232197079989838</v>
      </c>
      <c r="Y62" s="20">
        <f t="shared" si="18"/>
        <v>-1.9616098539994918E-4</v>
      </c>
      <c r="Z62" s="35">
        <f>$F62*AA$15</f>
        <v>0.18203739445114597</v>
      </c>
      <c r="AA62" s="36">
        <f t="shared" si="19"/>
        <v>20024.113389626058</v>
      </c>
      <c r="AB62" s="37">
        <f t="shared" si="20"/>
        <v>8600</v>
      </c>
      <c r="AC62" s="36">
        <f t="shared" si="43"/>
        <v>-25.893250072793297</v>
      </c>
      <c r="AD62" s="35">
        <f t="shared" si="22"/>
        <v>-1.2946625036396649E-4</v>
      </c>
      <c r="AE62" s="33">
        <f t="shared" si="44"/>
        <v>360.24333333331987</v>
      </c>
      <c r="AF62" s="33">
        <f t="shared" si="45"/>
        <v>1</v>
      </c>
      <c r="AG62" s="48">
        <f t="shared" si="25"/>
        <v>35000</v>
      </c>
    </row>
    <row r="63" spans="1:33" x14ac:dyDescent="0.4">
      <c r="A63" s="50">
        <v>2.2999999999999998</v>
      </c>
      <c r="B63" s="13">
        <f t="shared" si="26"/>
        <v>0.36913043478260882</v>
      </c>
      <c r="C63" s="13">
        <f t="shared" si="36"/>
        <v>-1.0000000000000057E-2</v>
      </c>
      <c r="D63" s="14">
        <f t="shared" si="37"/>
        <v>-36.913043478260668</v>
      </c>
      <c r="E63" s="17">
        <f t="shared" si="38"/>
        <v>-2.7845036319612746E-2</v>
      </c>
      <c r="F63" s="30">
        <f t="shared" si="2"/>
        <v>0.56219081272084814</v>
      </c>
      <c r="G63" s="31">
        <f t="shared" si="3"/>
        <v>61840.989399293299</v>
      </c>
      <c r="H63" s="32">
        <f t="shared" si="4"/>
        <v>26900</v>
      </c>
      <c r="I63" s="31">
        <f t="shared" si="39"/>
        <v>-618.40989399293653</v>
      </c>
      <c r="J63" s="33">
        <f t="shared" si="6"/>
        <v>-3.0920494699646825E-3</v>
      </c>
      <c r="K63" s="22">
        <f>$F63*L$15</f>
        <v>0.42164310954063611</v>
      </c>
      <c r="L63" s="23">
        <f t="shared" si="7"/>
        <v>46380.742049469969</v>
      </c>
      <c r="M63" s="24">
        <f t="shared" si="8"/>
        <v>20100</v>
      </c>
      <c r="N63" s="23">
        <f t="shared" si="40"/>
        <v>-463.80742049470234</v>
      </c>
      <c r="O63" s="22">
        <f t="shared" si="10"/>
        <v>-2.3190371024735118E-3</v>
      </c>
      <c r="P63" s="26">
        <f>$F63*Q$15</f>
        <v>0.37666784452296825</v>
      </c>
      <c r="Q63" s="27">
        <f t="shared" si="11"/>
        <v>41433.462897526508</v>
      </c>
      <c r="R63" s="28">
        <f t="shared" si="12"/>
        <v>18000</v>
      </c>
      <c r="S63" s="27">
        <f t="shared" si="41"/>
        <v>-414.33462897526744</v>
      </c>
      <c r="T63" s="26">
        <f t="shared" si="14"/>
        <v>-2.0716731448763371E-3</v>
      </c>
      <c r="U63" s="20">
        <f>$F63*V$15</f>
        <v>0.28109540636042407</v>
      </c>
      <c r="V63" s="15">
        <f t="shared" si="15"/>
        <v>30920.49469964665</v>
      </c>
      <c r="W63" s="16">
        <f t="shared" si="16"/>
        <v>13400</v>
      </c>
      <c r="X63" s="15">
        <f t="shared" si="42"/>
        <v>-309.20494699646827</v>
      </c>
      <c r="Y63" s="20">
        <f t="shared" si="18"/>
        <v>-1.5460247349823413E-3</v>
      </c>
      <c r="Z63" s="35">
        <f>$F63*AA$15</f>
        <v>0.18552296819787989</v>
      </c>
      <c r="AA63" s="36">
        <f t="shared" si="19"/>
        <v>20407.526501766788</v>
      </c>
      <c r="AB63" s="37">
        <f t="shared" si="20"/>
        <v>8800</v>
      </c>
      <c r="AC63" s="36">
        <f t="shared" si="43"/>
        <v>-204.07526501766904</v>
      </c>
      <c r="AD63" s="35">
        <f t="shared" si="22"/>
        <v>-1.0203763250883453E-3</v>
      </c>
      <c r="AE63" s="33">
        <f t="shared" si="44"/>
        <v>48.99695652173888</v>
      </c>
      <c r="AF63" s="33">
        <f t="shared" si="45"/>
        <v>1</v>
      </c>
      <c r="AG63" s="48">
        <f t="shared" si="25"/>
        <v>35000</v>
      </c>
    </row>
    <row r="65" spans="1:1" x14ac:dyDescent="0.4">
      <c r="A65" s="18" t="s">
        <v>34</v>
      </c>
    </row>
    <row r="66" spans="1:1" x14ac:dyDescent="0.4">
      <c r="A66" s="18" t="s">
        <v>33</v>
      </c>
    </row>
  </sheetData>
  <mergeCells count="6">
    <mergeCell ref="Z16:AD16"/>
    <mergeCell ref="AE16:AG16"/>
    <mergeCell ref="F16:J16"/>
    <mergeCell ref="U16:Y16"/>
    <mergeCell ref="K16:O16"/>
    <mergeCell ref="P16:T16"/>
  </mergeCells>
  <phoneticPr fontId="1" type="noConversion"/>
  <conditionalFormatting sqref="A2:E2"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{4669F8EF-5649-47DF-9953-FD1E7FC2953F}</x14:id>
        </ext>
      </extLst>
    </cfRule>
  </conditionalFormatting>
  <conditionalFormatting sqref="E18:E63">
    <cfRule type="cellIs" dxfId="2" priority="8" operator="lessThanOrEqual">
      <formula>$E$2</formula>
    </cfRule>
  </conditionalFormatting>
  <conditionalFormatting sqref="E18:E63">
    <cfRule type="cellIs" dxfId="1" priority="7" stopIfTrue="1" operator="greaterThan">
      <formula>$E$2</formula>
    </cfRule>
  </conditionalFormatting>
  <conditionalFormatting sqref="J18:J63 O18:O63 T18:T63 Y18:Y63 AD18:AD63">
    <cfRule type="cellIs" dxfId="0" priority="3" operator="greaterThanOrEqual">
      <formula>0.03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69F8EF-5649-47DF-9953-FD1E7FC295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A2:E2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18B9-A89A-430D-B5AA-203AE6F9C7CF}">
  <dimension ref="B1:J29"/>
  <sheetViews>
    <sheetView workbookViewId="0">
      <selection activeCell="B30" sqref="B30"/>
    </sheetView>
  </sheetViews>
  <sheetFormatPr defaultRowHeight="13.9" x14ac:dyDescent="0.4"/>
  <cols>
    <col min="2" max="2" width="12.86328125" bestFit="1" customWidth="1"/>
    <col min="10" max="10" width="12.86328125" bestFit="1" customWidth="1"/>
  </cols>
  <sheetData>
    <row r="1" spans="2:10" x14ac:dyDescent="0.4">
      <c r="B1" s="43" t="s">
        <v>36</v>
      </c>
      <c r="J1" s="43" t="s">
        <v>35</v>
      </c>
    </row>
    <row r="29" spans="2:2" x14ac:dyDescent="0.4">
      <c r="B29" t="s">
        <v>45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F1C5-E431-487E-8329-E306D394E8CB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3AA1-A17D-4F9B-A107-9881B122F9E4}">
  <dimension ref="A1:A9"/>
  <sheetViews>
    <sheetView workbookViewId="0">
      <selection activeCell="D8" sqref="D8"/>
    </sheetView>
  </sheetViews>
  <sheetFormatPr defaultRowHeight="13.9" x14ac:dyDescent="0.4"/>
  <cols>
    <col min="1" max="1" width="39.6640625" bestFit="1" customWidth="1"/>
  </cols>
  <sheetData>
    <row r="1" spans="1:1" ht="15.4" x14ac:dyDescent="0.55000000000000004">
      <c r="A1" s="2" t="s">
        <v>12</v>
      </c>
    </row>
    <row r="2" spans="1:1" ht="15.4" x14ac:dyDescent="0.55000000000000004">
      <c r="A2" s="1"/>
    </row>
    <row r="3" spans="1:1" ht="15.4" x14ac:dyDescent="0.55000000000000004">
      <c r="A3" s="1"/>
    </row>
    <row r="4" spans="1:1" ht="15.4" x14ac:dyDescent="0.55000000000000004">
      <c r="A4" s="1"/>
    </row>
    <row r="5" spans="1:1" ht="15.4" x14ac:dyDescent="0.55000000000000004">
      <c r="A5" s="1"/>
    </row>
    <row r="6" spans="1:1" ht="15.4" x14ac:dyDescent="0.55000000000000004">
      <c r="A6" s="1"/>
    </row>
    <row r="7" spans="1:1" ht="15.4" x14ac:dyDescent="0.55000000000000004">
      <c r="A7" s="2" t="s">
        <v>11</v>
      </c>
    </row>
    <row r="8" spans="1:1" ht="15.4" x14ac:dyDescent="0.55000000000000004">
      <c r="A8" s="1"/>
    </row>
    <row r="9" spans="1:1" ht="15.4" x14ac:dyDescent="0.55000000000000004">
      <c r="A9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简化版</vt:lpstr>
      <vt:lpstr>凯利公式</vt:lpstr>
      <vt:lpstr>后续问题</vt:lpstr>
      <vt:lpstr>保证金计算</vt:lpstr>
      <vt:lpstr>公式说明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黄慕枫</dc:creator>
  <cp:lastModifiedBy>慕枫 黄</cp:lastModifiedBy>
  <dcterms:created xsi:type="dcterms:W3CDTF">2015-06-05T18:19:34Z</dcterms:created>
  <dcterms:modified xsi:type="dcterms:W3CDTF">2026-04-06T17:27:52Z</dcterms:modified>
</cp:coreProperties>
</file>